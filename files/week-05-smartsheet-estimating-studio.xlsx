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sheet Import" sheetId="1" state="visible" r:id="rId1"/>
    <sheet xmlns:r="http://schemas.openxmlformats.org/officeDocument/2006/relationships" name="Studio Guide" sheetId="2" state="visible" r:id="rId2"/>
    <sheet xmlns:r="http://schemas.openxmlformats.org/officeDocument/2006/relationships" name="Formula Guide" sheetId="3" state="visible" r:id="rId3"/>
  </sheets>
  <definedNames>
    <definedName name="_xlnm._FilterDatabase" localSheetId="0" hidden="1">'Smartsheet Import'!$A$1:$S$25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2022"/>
      <sz val="10"/>
    </font>
    <font>
      <name val="Arial"/>
      <b val="1"/>
      <color rgb="000F5A4B"/>
      <sz val="10"/>
    </font>
    <font>
      <name val="Arial"/>
      <b val="1"/>
      <color rgb="000F5A4B"/>
      <sz val="16"/>
    </font>
    <font>
      <name val="Arial"/>
      <i val="1"/>
      <color rgb="005C6A66"/>
      <sz val="10"/>
    </font>
    <font>
      <name val="Arial"/>
      <b val="1"/>
      <color rgb="000F5A4B"/>
      <sz val="11"/>
    </font>
    <font>
      <name val="Arial"/>
      <b val="1"/>
      <color rgb="00A63D40"/>
      <sz val="11"/>
    </font>
    <font>
      <name val="Arial"/>
      <i val="1"/>
      <color rgb="005C6A66"/>
      <sz val="9"/>
    </font>
    <font>
      <name val="Arial"/>
      <color rgb="005C6A66"/>
      <sz val="9"/>
    </font>
    <font>
      <name val="Arial"/>
      <b val="1"/>
      <color rgb="000F5A4B"/>
      <sz val="15"/>
    </font>
    <font>
      <name val="Courier New"/>
      <color rgb="001A2022"/>
      <sz val="9.5"/>
    </font>
  </fonts>
  <fills count="7">
    <fill>
      <patternFill/>
    </fill>
    <fill>
      <patternFill patternType="gray125"/>
    </fill>
    <fill>
      <patternFill patternType="solid">
        <fgColor rgb="000F5A4B"/>
      </patternFill>
    </fill>
    <fill>
      <patternFill patternType="solid">
        <fgColor rgb="00DDEBE7"/>
      </patternFill>
    </fill>
    <fill>
      <patternFill patternType="solid">
        <fgColor rgb="00E8F1F8"/>
      </patternFill>
    </fill>
    <fill>
      <patternFill patternType="solid">
        <fgColor rgb="00EEF6F3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bottom style="thin">
        <color rgb="00D5DBD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vertical="top" wrapText="1"/>
    </xf>
    <xf numFmtId="164" fontId="3" fillId="3" borderId="2" applyAlignment="1" pivotButton="0" quotePrefix="0" xfId="0">
      <alignment horizontal="right" vertical="top" wrapText="1"/>
    </xf>
    <xf numFmtId="164" fontId="3" fillId="4" borderId="2" applyAlignment="1" pivotButton="0" quotePrefix="0" xfId="0">
      <alignment horizontal="right" vertical="top" wrapText="1"/>
    </xf>
    <xf numFmtId="165" fontId="3" fillId="3" borderId="2" applyAlignment="1" pivotButton="0" quotePrefix="0" xfId="0">
      <alignment horizontal="right" vertical="top" wrapText="1"/>
    </xf>
    <xf numFmtId="165" fontId="3" fillId="4" borderId="2" applyAlignment="1" pivotButton="0" quotePrefix="0" xfId="0">
      <alignment horizontal="right" vertical="top" wrapText="1"/>
    </xf>
    <xf numFmtId="9" fontId="3" fillId="3" borderId="2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left" vertical="top" wrapText="1" indent="1"/>
    </xf>
    <xf numFmtId="0" fontId="2" fillId="5" borderId="2" applyAlignment="1" pivotButton="0" quotePrefix="0" xfId="0">
      <alignment horizontal="left" vertical="top" wrapText="1" indent="2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164" fontId="2" fillId="6" borderId="2" applyAlignment="1" pivotButton="0" quotePrefix="0" xfId="0">
      <alignment horizontal="right" vertical="top" wrapText="1"/>
    </xf>
    <xf numFmtId="164" fontId="2" fillId="4" borderId="2" applyAlignment="1" pivotButton="0" quotePrefix="0" xfId="0">
      <alignment horizontal="right" vertical="top" wrapText="1"/>
    </xf>
    <xf numFmtId="165" fontId="2" fillId="6" borderId="2" applyAlignment="1" pivotButton="0" quotePrefix="0" xfId="0">
      <alignment horizontal="right" vertical="top" wrapText="1"/>
    </xf>
    <xf numFmtId="165" fontId="2" fillId="4" borderId="2" applyAlignment="1" pivotButton="0" quotePrefix="0" xfId="0">
      <alignment horizontal="right" vertical="top" wrapText="1"/>
    </xf>
    <xf numFmtId="9" fontId="2" fillId="6" borderId="2" applyAlignment="1" pivotButton="0" quotePrefix="0" xfId="0">
      <alignment horizontal="right" vertical="top" wrapText="1"/>
    </xf>
    <xf numFmtId="0" fontId="2" fillId="0" borderId="2" applyAlignment="1" pivotButton="0" quotePrefix="0" xfId="0">
      <alignment horizontal="left" vertical="top" wrapText="1" indent="2"/>
    </xf>
    <xf numFmtId="0" fontId="2" fillId="0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2" fillId="0" borderId="2" applyAlignment="1" pivotButton="0" quotePrefix="0" xfId="0">
      <alignment vertical="top" wrapText="1"/>
    </xf>
    <xf numFmtId="165" fontId="7" fillId="0" borderId="2" applyAlignment="1" pivotButton="0" quotePrefix="0" xfId="0">
      <alignment vertical="top" wrapText="1"/>
    </xf>
    <xf numFmtId="166" fontId="2" fillId="0" borderId="2" applyAlignment="1" pivotButton="0" quotePrefix="0" xfId="0">
      <alignment vertical="top" wrapText="1"/>
    </xf>
    <xf numFmtId="0" fontId="6" fillId="3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3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5A4B"/>
    <outlinePr summaryBelow="1" summaryRight="1"/>
    <pageSetUpPr/>
  </sheetPr>
  <dimension ref="A1:S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12" customWidth="1" min="4" max="4"/>
    <col width="21" customWidth="1" min="5" max="5"/>
    <col width="16" customWidth="1" min="6" max="6"/>
    <col width="17" customWidth="1" min="7" max="7"/>
    <col width="16" customWidth="1" min="8" max="8"/>
    <col width="17" customWidth="1" min="9" max="9"/>
    <col width="19" customWidth="1" min="10" max="10"/>
    <col width="13" customWidth="1" min="11" max="11"/>
    <col width="14" customWidth="1" min="12" max="12"/>
    <col width="15" customWidth="1" min="13" max="13"/>
    <col width="24" customWidth="1" min="14" max="14"/>
    <col width="14" customWidth="1" min="15" max="15"/>
    <col width="16" customWidth="1" min="16" max="16"/>
    <col width="22" customWidth="1" min="17" max="17"/>
    <col width="12" customWidth="1" min="18" max="18"/>
    <col width="55" customWidth="1" min="19" max="19"/>
  </cols>
  <sheetData>
    <row r="1" ht="34" customHeight="1">
      <c r="A1" s="1" t="inlineStr">
        <is>
          <t>Task Name</t>
        </is>
      </c>
      <c r="B1" s="1" t="inlineStr">
        <is>
          <t>WBS</t>
        </is>
      </c>
      <c r="C1" s="1" t="inlineStr">
        <is>
          <t>Indent Level</t>
        </is>
      </c>
      <c r="D1" s="1" t="inlineStr">
        <is>
          <t>Parent WBS</t>
        </is>
      </c>
      <c r="E1" s="1" t="inlineStr">
        <is>
          <t>Estimate Method</t>
        </is>
      </c>
      <c r="F1" s="1" t="inlineStr">
        <is>
          <t>Low Duration (days)</t>
        </is>
      </c>
      <c r="G1" s="1" t="inlineStr">
        <is>
          <t>Likely Duration (days)</t>
        </is>
      </c>
      <c r="H1" s="1" t="inlineStr">
        <is>
          <t>High Duration (days)</t>
        </is>
      </c>
      <c r="I1" s="1" t="inlineStr">
        <is>
          <t>Duration Range (days)</t>
        </is>
      </c>
      <c r="J1" s="1" t="inlineStr">
        <is>
          <t>Planned Effort (hours)</t>
        </is>
      </c>
      <c r="K1" s="1" t="inlineStr">
        <is>
          <t>Labor Rate</t>
        </is>
      </c>
      <c r="L1" s="1" t="inlineStr">
        <is>
          <t>Labor Cost</t>
        </is>
      </c>
      <c r="M1" s="1" t="inlineStr">
        <is>
          <t>Nonlabor Cost</t>
        </is>
      </c>
      <c r="N1" s="1" t="inlineStr">
        <is>
          <t>Cost Type</t>
        </is>
      </c>
      <c r="O1" s="1" t="inlineStr">
        <is>
          <t>Contingency %</t>
        </is>
      </c>
      <c r="P1" s="1" t="inlineStr">
        <is>
          <t>Total Estimate</t>
        </is>
      </c>
      <c r="Q1" s="1" t="inlineStr">
        <is>
          <t>Owner</t>
        </is>
      </c>
      <c r="R1" s="1" t="inlineStr">
        <is>
          <t>Risk Level</t>
        </is>
      </c>
      <c r="S1" s="1" t="inlineStr">
        <is>
          <t>Estimating Assumption</t>
        </is>
      </c>
    </row>
    <row r="2" ht="32" customHeight="1">
      <c r="A2" s="2" t="inlineStr">
        <is>
          <t>Two-Day Manufacturing Conference</t>
        </is>
      </c>
      <c r="B2" s="3" t="inlineStr">
        <is>
          <t>1</t>
        </is>
      </c>
      <c r="C2" s="3" t="n">
        <v>0</v>
      </c>
      <c r="D2" s="3" t="n"/>
      <c r="E2" s="3" t="inlineStr">
        <is>
          <t>Bottom-up rollup</t>
        </is>
      </c>
      <c r="F2" s="4" t="n"/>
      <c r="G2" s="4" t="n"/>
      <c r="H2" s="4" t="n"/>
      <c r="I2" s="5" t="n"/>
      <c r="J2" s="4" t="n">
        <v>380</v>
      </c>
      <c r="K2" s="6" t="n"/>
      <c r="L2" s="7" t="n">
        <v>26140</v>
      </c>
      <c r="M2" s="6" t="n">
        <v>46000</v>
      </c>
      <c r="N2" s="3" t="n"/>
      <c r="O2" s="8" t="n"/>
      <c r="P2" s="7" t="n">
        <v>82511</v>
      </c>
      <c r="Q2" s="3" t="inlineStr">
        <is>
          <t>Sponsor and Project Manager</t>
        </is>
      </c>
      <c r="R2" s="3" t="inlineStr">
        <is>
          <t>Summary</t>
        </is>
      </c>
      <c r="S2" s="3" t="inlineStr">
        <is>
          <t>Rollup of child work packages.</t>
        </is>
      </c>
    </row>
    <row r="3" ht="32" customHeight="1">
      <c r="A3" s="9" t="inlineStr">
        <is>
          <t>Project management</t>
        </is>
      </c>
      <c r="B3" s="3" t="inlineStr">
        <is>
          <t>1.1</t>
        </is>
      </c>
      <c r="C3" s="3" t="n">
        <v>1</v>
      </c>
      <c r="D3" s="3" t="inlineStr">
        <is>
          <t>1</t>
        </is>
      </c>
      <c r="E3" s="3" t="inlineStr">
        <is>
          <t>Bottom-up rollup</t>
        </is>
      </c>
      <c r="F3" s="4" t="n"/>
      <c r="G3" s="4" t="n"/>
      <c r="H3" s="4" t="n"/>
      <c r="I3" s="5" t="n"/>
      <c r="J3" s="4" t="n">
        <v>42</v>
      </c>
      <c r="K3" s="6" t="n"/>
      <c r="L3" s="7" t="n">
        <v>3570</v>
      </c>
      <c r="M3" s="6" t="n">
        <v>500</v>
      </c>
      <c r="N3" s="3" t="n"/>
      <c r="O3" s="8" t="n"/>
      <c r="P3" s="7" t="n">
        <v>4477</v>
      </c>
      <c r="Q3" s="3" t="inlineStr">
        <is>
          <t>Project Manager</t>
        </is>
      </c>
      <c r="R3" s="3" t="inlineStr">
        <is>
          <t>Summary</t>
        </is>
      </c>
      <c r="S3" s="3" t="inlineStr">
        <is>
          <t>Rollup of child work packages.</t>
        </is>
      </c>
    </row>
    <row r="4" ht="44" customHeight="1">
      <c r="A4" s="10" t="inlineStr">
        <is>
          <t>Approvals and contracts</t>
        </is>
      </c>
      <c r="B4" s="11" t="inlineStr">
        <is>
          <t>1.1.1</t>
        </is>
      </c>
      <c r="C4" s="11" t="n">
        <v>2</v>
      </c>
      <c r="D4" s="11" t="inlineStr">
        <is>
          <t>1.1</t>
        </is>
      </c>
      <c r="E4" s="12" t="inlineStr">
        <is>
          <t>Expert judgment</t>
        </is>
      </c>
      <c r="F4" s="13" t="n">
        <v>2</v>
      </c>
      <c r="G4" s="13" t="n">
        <v>3</v>
      </c>
      <c r="H4" s="13" t="n">
        <v>5</v>
      </c>
      <c r="I4" s="14" t="n">
        <v>3</v>
      </c>
      <c r="J4" s="13" t="n">
        <v>18</v>
      </c>
      <c r="K4" s="15" t="n">
        <v>85</v>
      </c>
      <c r="L4" s="16" t="n">
        <v>1530</v>
      </c>
      <c r="M4" s="15" t="n">
        <v>500</v>
      </c>
      <c r="N4" s="12" t="inlineStr">
        <is>
          <t>Direct project overhead</t>
        </is>
      </c>
      <c r="O4" s="17" t="n">
        <v>0.1</v>
      </c>
      <c r="P4" s="16" t="n">
        <v>2233</v>
      </c>
      <c r="Q4" s="12" t="inlineStr">
        <is>
          <t>Project Manager</t>
        </is>
      </c>
      <c r="R4" s="12" t="inlineStr">
        <is>
          <t>Low</t>
        </is>
      </c>
      <c r="S4" s="12" t="inlineStr">
        <is>
          <t>Standard university review cycle; no new legal clauses.</t>
        </is>
      </c>
    </row>
    <row r="5" ht="44" customHeight="1">
      <c r="A5" s="18" t="inlineStr">
        <is>
          <t>Status reporting</t>
        </is>
      </c>
      <c r="B5" s="19" t="inlineStr">
        <is>
          <t>1.1.2</t>
        </is>
      </c>
      <c r="C5" s="19" t="n">
        <v>2</v>
      </c>
      <c r="D5" s="19" t="inlineStr">
        <is>
          <t>1.1</t>
        </is>
      </c>
      <c r="E5" s="12" t="inlineStr">
        <is>
          <t>Template</t>
        </is>
      </c>
      <c r="F5" s="13" t="n">
        <v>2</v>
      </c>
      <c r="G5" s="13" t="n">
        <v>3</v>
      </c>
      <c r="H5" s="13" t="n">
        <v>5</v>
      </c>
      <c r="I5" s="14" t="n">
        <v>3</v>
      </c>
      <c r="J5" s="13" t="n">
        <v>24</v>
      </c>
      <c r="K5" s="15" t="n">
        <v>85</v>
      </c>
      <c r="L5" s="16" t="n">
        <v>2040</v>
      </c>
      <c r="M5" s="15" t="n">
        <v>0</v>
      </c>
      <c r="N5" s="12" t="inlineStr">
        <is>
          <t>Direct project overhead</t>
        </is>
      </c>
      <c r="O5" s="17" t="n">
        <v>0.1</v>
      </c>
      <c r="P5" s="16" t="n">
        <v>2244</v>
      </c>
      <c r="Q5" s="12" t="inlineStr">
        <is>
          <t>Project Manager</t>
        </is>
      </c>
      <c r="R5" s="12" t="inlineStr">
        <is>
          <t>Low</t>
        </is>
      </c>
      <c r="S5" s="12" t="inlineStr">
        <is>
          <t>Weekly report template and dashboard already exist.</t>
        </is>
      </c>
    </row>
    <row r="6" ht="32" customHeight="1">
      <c r="A6" s="9" t="inlineStr">
        <is>
          <t>Venue and logistics</t>
        </is>
      </c>
      <c r="B6" s="3" t="inlineStr">
        <is>
          <t>1.2</t>
        </is>
      </c>
      <c r="C6" s="3" t="n">
        <v>1</v>
      </c>
      <c r="D6" s="3" t="inlineStr">
        <is>
          <t>1</t>
        </is>
      </c>
      <c r="E6" s="3" t="inlineStr">
        <is>
          <t>Bottom-up rollup</t>
        </is>
      </c>
      <c r="F6" s="4" t="n"/>
      <c r="G6" s="4" t="n"/>
      <c r="H6" s="4" t="n"/>
      <c r="I6" s="5" t="n"/>
      <c r="J6" s="4" t="n">
        <v>48</v>
      </c>
      <c r="K6" s="6" t="n"/>
      <c r="L6" s="7" t="n">
        <v>3260</v>
      </c>
      <c r="M6" s="6" t="n">
        <v>31500</v>
      </c>
      <c r="N6" s="3" t="n"/>
      <c r="O6" s="8" t="n"/>
      <c r="P6" s="7" t="n">
        <v>39132</v>
      </c>
      <c r="Q6" s="3" t="inlineStr">
        <is>
          <t>Logistics Lead</t>
        </is>
      </c>
      <c r="R6" s="3" t="inlineStr">
        <is>
          <t>Summary</t>
        </is>
      </c>
      <c r="S6" s="3" t="inlineStr">
        <is>
          <t>Rollup of child work packages.</t>
        </is>
      </c>
    </row>
    <row r="7" ht="44" customHeight="1">
      <c r="A7" s="18" t="inlineStr">
        <is>
          <t>Venue selection</t>
        </is>
      </c>
      <c r="B7" s="19" t="inlineStr">
        <is>
          <t>1.2.1</t>
        </is>
      </c>
      <c r="C7" s="19" t="n">
        <v>2</v>
      </c>
      <c r="D7" s="19" t="inlineStr">
        <is>
          <t>1.2</t>
        </is>
      </c>
      <c r="E7" s="12" t="inlineStr">
        <is>
          <t>Delphi</t>
        </is>
      </c>
      <c r="F7" s="13" t="n">
        <v>3</v>
      </c>
      <c r="G7" s="13" t="n">
        <v>5</v>
      </c>
      <c r="H7" s="13" t="n">
        <v>8</v>
      </c>
      <c r="I7" s="14" t="n">
        <v>5</v>
      </c>
      <c r="J7" s="13" t="n">
        <v>16</v>
      </c>
      <c r="K7" s="15" t="n">
        <v>70</v>
      </c>
      <c r="L7" s="16" t="n">
        <v>1120</v>
      </c>
      <c r="M7" s="15" t="n">
        <v>9000</v>
      </c>
      <c r="N7" s="12" t="inlineStr">
        <is>
          <t>Direct</t>
        </is>
      </c>
      <c r="O7" s="17" t="n">
        <v>0.15</v>
      </c>
      <c r="P7" s="16" t="n">
        <v>11638</v>
      </c>
      <c r="Q7" s="12" t="inlineStr">
        <is>
          <t>Logistics Lead</t>
        </is>
      </c>
      <c r="R7" s="12" t="inlineStr">
        <is>
          <t>Medium</t>
        </is>
      </c>
      <c r="S7" s="12" t="inlineStr">
        <is>
          <t>A campus venue is available for both event days.</t>
        </is>
      </c>
    </row>
    <row r="8" ht="44" customHeight="1">
      <c r="A8" s="10" t="inlineStr">
        <is>
          <t>Catering contract</t>
        </is>
      </c>
      <c r="B8" s="11" t="inlineStr">
        <is>
          <t>1.2.2</t>
        </is>
      </c>
      <c r="C8" s="11" t="n">
        <v>2</v>
      </c>
      <c r="D8" s="11" t="inlineStr">
        <is>
          <t>1.2</t>
        </is>
      </c>
      <c r="E8" s="12" t="inlineStr">
        <is>
          <t>Ratio</t>
        </is>
      </c>
      <c r="F8" s="13" t="n">
        <v>2</v>
      </c>
      <c r="G8" s="13" t="n">
        <v>4</v>
      </c>
      <c r="H8" s="13" t="n">
        <v>7</v>
      </c>
      <c r="I8" s="14" t="n">
        <v>5</v>
      </c>
      <c r="J8" s="13" t="n">
        <v>12</v>
      </c>
      <c r="K8" s="15" t="n">
        <v>70</v>
      </c>
      <c r="L8" s="16" t="n">
        <v>840</v>
      </c>
      <c r="M8" s="15" t="n">
        <v>16000</v>
      </c>
      <c r="N8" s="12" t="inlineStr">
        <is>
          <t>Direct</t>
        </is>
      </c>
      <c r="O8" s="17" t="n">
        <v>0.1</v>
      </c>
      <c r="P8" s="16" t="n">
        <v>18524</v>
      </c>
      <c r="Q8" s="12" t="inlineStr">
        <is>
          <t>Logistics Lead</t>
        </is>
      </c>
      <c r="R8" s="12" t="inlineStr">
        <is>
          <t>Medium</t>
        </is>
      </c>
      <c r="S8" s="12" t="inlineStr">
        <is>
          <t>Catering serves 300 attendees at the quoted service level.</t>
        </is>
      </c>
    </row>
    <row r="9" ht="44" customHeight="1">
      <c r="A9" s="18" t="inlineStr">
        <is>
          <t>AV setup</t>
        </is>
      </c>
      <c r="B9" s="19" t="inlineStr">
        <is>
          <t>1.2.3</t>
        </is>
      </c>
      <c r="C9" s="19" t="n">
        <v>2</v>
      </c>
      <c r="D9" s="19" t="inlineStr">
        <is>
          <t>1.2</t>
        </is>
      </c>
      <c r="E9" s="12" t="inlineStr">
        <is>
          <t>Range</t>
        </is>
      </c>
      <c r="F9" s="13" t="n">
        <v>2</v>
      </c>
      <c r="G9" s="13" t="n">
        <v>4</v>
      </c>
      <c r="H9" s="13" t="n">
        <v>8</v>
      </c>
      <c r="I9" s="14" t="n">
        <v>6</v>
      </c>
      <c r="J9" s="13" t="n">
        <v>20</v>
      </c>
      <c r="K9" s="15" t="n">
        <v>65</v>
      </c>
      <c r="L9" s="16" t="n">
        <v>1300</v>
      </c>
      <c r="M9" s="15" t="n">
        <v>6500</v>
      </c>
      <c r="N9" s="12" t="inlineStr">
        <is>
          <t>Direct</t>
        </is>
      </c>
      <c r="O9" s="17" t="n">
        <v>0.15</v>
      </c>
      <c r="P9" s="16" t="n">
        <v>8970</v>
      </c>
      <c r="Q9" s="12" t="inlineStr">
        <is>
          <t>AV Lead</t>
        </is>
      </c>
      <c r="R9" s="12" t="inlineStr">
        <is>
          <t>Medium</t>
        </is>
      </c>
      <c r="S9" s="12" t="inlineStr">
        <is>
          <t>Two rooms need recording; venue network passes load testing.</t>
        </is>
      </c>
    </row>
    <row r="10" ht="32" customHeight="1">
      <c r="A10" s="9" t="inlineStr">
        <is>
          <t>Registration system</t>
        </is>
      </c>
      <c r="B10" s="3" t="inlineStr">
        <is>
          <t>1.3</t>
        </is>
      </c>
      <c r="C10" s="3" t="n">
        <v>1</v>
      </c>
      <c r="D10" s="3" t="inlineStr">
        <is>
          <t>1</t>
        </is>
      </c>
      <c r="E10" s="3" t="inlineStr">
        <is>
          <t>Bottom-up rollup</t>
        </is>
      </c>
      <c r="F10" s="4" t="n"/>
      <c r="G10" s="4" t="n"/>
      <c r="H10" s="4" t="n"/>
      <c r="I10" s="5" t="n"/>
      <c r="J10" s="4" t="n">
        <v>76</v>
      </c>
      <c r="K10" s="6" t="n"/>
      <c r="L10" s="7" t="n">
        <v>6120</v>
      </c>
      <c r="M10" s="6" t="n">
        <v>3100</v>
      </c>
      <c r="N10" s="3" t="n"/>
      <c r="O10" s="8" t="n"/>
      <c r="P10" s="7" t="n">
        <v>10957</v>
      </c>
      <c r="Q10" s="3" t="inlineStr">
        <is>
          <t>Systems Lead</t>
        </is>
      </c>
      <c r="R10" s="3" t="inlineStr">
        <is>
          <t>Summary</t>
        </is>
      </c>
      <c r="S10" s="3" t="inlineStr">
        <is>
          <t>Rollup of child work packages.</t>
        </is>
      </c>
    </row>
    <row r="11" ht="44" customHeight="1">
      <c r="A11" s="18" t="inlineStr">
        <is>
          <t>Configure platform</t>
        </is>
      </c>
      <c r="B11" s="19" t="inlineStr">
        <is>
          <t>1.3.1</t>
        </is>
      </c>
      <c r="C11" s="19" t="n">
        <v>2</v>
      </c>
      <c r="D11" s="19" t="inlineStr">
        <is>
          <t>1.3</t>
        </is>
      </c>
      <c r="E11" s="12" t="inlineStr">
        <is>
          <t>Parametric</t>
        </is>
      </c>
      <c r="F11" s="13" t="n">
        <v>4</v>
      </c>
      <c r="G11" s="13" t="n">
        <v>6</v>
      </c>
      <c r="H11" s="13" t="n">
        <v>10</v>
      </c>
      <c r="I11" s="14" t="n">
        <v>6</v>
      </c>
      <c r="J11" s="13" t="n">
        <v>32</v>
      </c>
      <c r="K11" s="15" t="n">
        <v>90</v>
      </c>
      <c r="L11" s="16" t="n">
        <v>2880</v>
      </c>
      <c r="M11" s="15" t="n">
        <v>2400</v>
      </c>
      <c r="N11" s="12" t="inlineStr">
        <is>
          <t>Direct</t>
        </is>
      </c>
      <c r="O11" s="17" t="n">
        <v>0.2</v>
      </c>
      <c r="P11" s="16" t="n">
        <v>6336</v>
      </c>
      <c r="Q11" s="12" t="inlineStr">
        <is>
          <t>Systems Lead</t>
        </is>
      </c>
      <c r="R11" s="12" t="inlineStr">
        <is>
          <t>Medium</t>
        </is>
      </c>
      <c r="S11" s="12" t="inlineStr">
        <is>
          <t>Existing registration template supports required fields.</t>
        </is>
      </c>
    </row>
    <row r="12" ht="44" customHeight="1">
      <c r="A12" s="10" t="inlineStr">
        <is>
          <t>Payment testing</t>
        </is>
      </c>
      <c r="B12" s="11" t="inlineStr">
        <is>
          <t>1.3.2</t>
        </is>
      </c>
      <c r="C12" s="11" t="n">
        <v>2</v>
      </c>
      <c r="D12" s="11" t="inlineStr">
        <is>
          <t>1.3</t>
        </is>
      </c>
      <c r="E12" s="12" t="inlineStr">
        <is>
          <t>Template</t>
        </is>
      </c>
      <c r="F12" s="13" t="n">
        <v>2</v>
      </c>
      <c r="G12" s="13" t="n">
        <v>4</v>
      </c>
      <c r="H12" s="13" t="n">
        <v>7</v>
      </c>
      <c r="I12" s="14" t="n">
        <v>5</v>
      </c>
      <c r="J12" s="13" t="n">
        <v>20</v>
      </c>
      <c r="K12" s="15" t="n">
        <v>90</v>
      </c>
      <c r="L12" s="16" t="n">
        <v>1800</v>
      </c>
      <c r="M12" s="15" t="n">
        <v>0</v>
      </c>
      <c r="N12" s="12" t="inlineStr">
        <is>
          <t>Direct</t>
        </is>
      </c>
      <c r="O12" s="17" t="n">
        <v>0.2</v>
      </c>
      <c r="P12" s="16" t="n">
        <v>2160</v>
      </c>
      <c r="Q12" s="12" t="inlineStr">
        <is>
          <t>Systems Lead</t>
        </is>
      </c>
      <c r="R12" s="12" t="inlineStr">
        <is>
          <t>Medium</t>
        </is>
      </c>
      <c r="S12" s="12" t="inlineStr">
        <is>
          <t>One payment gateway and two refund cases are in scope.</t>
        </is>
      </c>
    </row>
    <row r="13" ht="44" customHeight="1">
      <c r="A13" s="18" t="inlineStr">
        <is>
          <t>Attendee communications</t>
        </is>
      </c>
      <c r="B13" s="19" t="inlineStr">
        <is>
          <t>1.3.3</t>
        </is>
      </c>
      <c r="C13" s="19" t="n">
        <v>2</v>
      </c>
      <c r="D13" s="19" t="inlineStr">
        <is>
          <t>1.3</t>
        </is>
      </c>
      <c r="E13" s="12" t="inlineStr">
        <is>
          <t>Parametric</t>
        </is>
      </c>
      <c r="F13" s="13" t="n">
        <v>3</v>
      </c>
      <c r="G13" s="13" t="n">
        <v>5</v>
      </c>
      <c r="H13" s="13" t="n">
        <v>8</v>
      </c>
      <c r="I13" s="14" t="n">
        <v>5</v>
      </c>
      <c r="J13" s="13" t="n">
        <v>24</v>
      </c>
      <c r="K13" s="15" t="n">
        <v>60</v>
      </c>
      <c r="L13" s="16" t="n">
        <v>1440</v>
      </c>
      <c r="M13" s="15" t="n">
        <v>700</v>
      </c>
      <c r="N13" s="12" t="inlineStr">
        <is>
          <t>Direct</t>
        </is>
      </c>
      <c r="O13" s="17" t="n">
        <v>0.15</v>
      </c>
      <c r="P13" s="16" t="n">
        <v>2461</v>
      </c>
      <c r="Q13" s="12" t="inlineStr">
        <is>
          <t>Communications Lead</t>
        </is>
      </c>
      <c r="R13" s="12" t="inlineStr">
        <is>
          <t>Medium</t>
        </is>
      </c>
      <c r="S13" s="12" t="inlineStr">
        <is>
          <t>Four scheduled campaigns use the existing email platform.</t>
        </is>
      </c>
    </row>
    <row r="14" ht="32" customHeight="1">
      <c r="A14" s="9" t="inlineStr">
        <is>
          <t>Program and speakers</t>
        </is>
      </c>
      <c r="B14" s="3" t="inlineStr">
        <is>
          <t>1.4</t>
        </is>
      </c>
      <c r="C14" s="3" t="n">
        <v>1</v>
      </c>
      <c r="D14" s="3" t="inlineStr">
        <is>
          <t>1</t>
        </is>
      </c>
      <c r="E14" s="3" t="inlineStr">
        <is>
          <t>Bottom-up rollup</t>
        </is>
      </c>
      <c r="F14" s="4" t="n"/>
      <c r="G14" s="4" t="n"/>
      <c r="H14" s="4" t="n"/>
      <c r="I14" s="5" t="n"/>
      <c r="J14" s="4" t="n">
        <v>54</v>
      </c>
      <c r="K14" s="6" t="n"/>
      <c r="L14" s="7" t="n">
        <v>4050</v>
      </c>
      <c r="M14" s="6" t="n">
        <v>3000</v>
      </c>
      <c r="N14" s="3" t="n"/>
      <c r="O14" s="8" t="n"/>
      <c r="P14" s="7" t="n">
        <v>8362.5</v>
      </c>
      <c r="Q14" s="3" t="inlineStr">
        <is>
          <t>Program Lead</t>
        </is>
      </c>
      <c r="R14" s="3" t="inlineStr">
        <is>
          <t>Summary</t>
        </is>
      </c>
      <c r="S14" s="3" t="inlineStr">
        <is>
          <t>Rollup of child work packages.</t>
        </is>
      </c>
    </row>
    <row r="15" ht="44" customHeight="1">
      <c r="A15" s="18" t="inlineStr">
        <is>
          <t>Confirm speakers</t>
        </is>
      </c>
      <c r="B15" s="19" t="inlineStr">
        <is>
          <t>1.4.1</t>
        </is>
      </c>
      <c r="C15" s="19" t="n">
        <v>2</v>
      </c>
      <c r="D15" s="19" t="inlineStr">
        <is>
          <t>1.4</t>
        </is>
      </c>
      <c r="E15" s="12" t="inlineStr">
        <is>
          <t>Delphi</t>
        </is>
      </c>
      <c r="F15" s="13" t="n">
        <v>6</v>
      </c>
      <c r="G15" s="13" t="n">
        <v>10</v>
      </c>
      <c r="H15" s="13" t="n">
        <v>18</v>
      </c>
      <c r="I15" s="14" t="n">
        <v>12</v>
      </c>
      <c r="J15" s="13" t="n">
        <v>28</v>
      </c>
      <c r="K15" s="15" t="n">
        <v>75</v>
      </c>
      <c r="L15" s="16" t="n">
        <v>2100</v>
      </c>
      <c r="M15" s="15" t="n">
        <v>3000</v>
      </c>
      <c r="N15" s="12" t="inlineStr">
        <is>
          <t>Direct</t>
        </is>
      </c>
      <c r="O15" s="17" t="n">
        <v>0.2</v>
      </c>
      <c r="P15" s="16" t="n">
        <v>6120</v>
      </c>
      <c r="Q15" s="12" t="inlineStr">
        <is>
          <t>Program Lead</t>
        </is>
      </c>
      <c r="R15" s="12" t="inlineStr">
        <is>
          <t>High</t>
        </is>
      </c>
      <c r="S15" s="12" t="inlineStr">
        <is>
          <t>Twelve speakers; two require travel support.</t>
        </is>
      </c>
    </row>
    <row r="16" ht="44" customHeight="1">
      <c r="A16" s="10" t="inlineStr">
        <is>
          <t>Session schedule</t>
        </is>
      </c>
      <c r="B16" s="11" t="inlineStr">
        <is>
          <t>1.4.2</t>
        </is>
      </c>
      <c r="C16" s="11" t="n">
        <v>2</v>
      </c>
      <c r="D16" s="11" t="inlineStr">
        <is>
          <t>1.4</t>
        </is>
      </c>
      <c r="E16" s="12" t="inlineStr">
        <is>
          <t>Template</t>
        </is>
      </c>
      <c r="F16" s="13" t="n">
        <v>4</v>
      </c>
      <c r="G16" s="13" t="n">
        <v>7</v>
      </c>
      <c r="H16" s="13" t="n">
        <v>11</v>
      </c>
      <c r="I16" s="14" t="n">
        <v>7</v>
      </c>
      <c r="J16" s="13" t="n">
        <v>26</v>
      </c>
      <c r="K16" s="15" t="n">
        <v>75</v>
      </c>
      <c r="L16" s="16" t="n">
        <v>1950</v>
      </c>
      <c r="M16" s="15" t="n">
        <v>0</v>
      </c>
      <c r="N16" s="12" t="inlineStr">
        <is>
          <t>Direct</t>
        </is>
      </c>
      <c r="O16" s="17" t="n">
        <v>0.15</v>
      </c>
      <c r="P16" s="16" t="n">
        <v>2242.5</v>
      </c>
      <c r="Q16" s="12" t="inlineStr">
        <is>
          <t>Program Lead</t>
        </is>
      </c>
      <c r="R16" s="12" t="inlineStr">
        <is>
          <t>High</t>
        </is>
      </c>
      <c r="S16" s="12" t="inlineStr">
        <is>
          <t>Two tracks and sixteen sessions; no hybrid delivery.</t>
        </is>
      </c>
    </row>
    <row r="17" ht="32" customHeight="1">
      <c r="A17" s="9" t="inlineStr">
        <is>
          <t>Marketing</t>
        </is>
      </c>
      <c r="B17" s="3" t="inlineStr">
        <is>
          <t>1.5</t>
        </is>
      </c>
      <c r="C17" s="3" t="n">
        <v>1</v>
      </c>
      <c r="D17" s="3" t="inlineStr">
        <is>
          <t>1</t>
        </is>
      </c>
      <c r="E17" s="3" t="inlineStr">
        <is>
          <t>Bottom-up rollup</t>
        </is>
      </c>
      <c r="F17" s="4" t="n"/>
      <c r="G17" s="4" t="n"/>
      <c r="H17" s="4" t="n"/>
      <c r="I17" s="5" t="n"/>
      <c r="J17" s="4" t="n">
        <v>60</v>
      </c>
      <c r="K17" s="6" t="n"/>
      <c r="L17" s="7" t="n">
        <v>3900</v>
      </c>
      <c r="M17" s="6" t="n">
        <v>5700</v>
      </c>
      <c r="N17" s="3" t="n"/>
      <c r="O17" s="8" t="n"/>
      <c r="P17" s="7" t="n">
        <v>11356</v>
      </c>
      <c r="Q17" s="3" t="inlineStr">
        <is>
          <t>Marketing Lead</t>
        </is>
      </c>
      <c r="R17" s="3" t="inlineStr">
        <is>
          <t>Summary</t>
        </is>
      </c>
      <c r="S17" s="3" t="inlineStr">
        <is>
          <t>Rollup of child work packages.</t>
        </is>
      </c>
    </row>
    <row r="18" ht="44" customHeight="1">
      <c r="A18" s="10" t="inlineStr">
        <is>
          <t>Creative assets</t>
        </is>
      </c>
      <c r="B18" s="11" t="inlineStr">
        <is>
          <t>1.5.1</t>
        </is>
      </c>
      <c r="C18" s="11" t="n">
        <v>2</v>
      </c>
      <c r="D18" s="11" t="inlineStr">
        <is>
          <t>1.5</t>
        </is>
      </c>
      <c r="E18" s="12" t="inlineStr">
        <is>
          <t>Parametric</t>
        </is>
      </c>
      <c r="F18" s="13" t="n">
        <v>4</v>
      </c>
      <c r="G18" s="13" t="n">
        <v>6</v>
      </c>
      <c r="H18" s="13" t="n">
        <v>9</v>
      </c>
      <c r="I18" s="14" t="n">
        <v>5</v>
      </c>
      <c r="J18" s="13" t="n">
        <v>32</v>
      </c>
      <c r="K18" s="15" t="n">
        <v>65</v>
      </c>
      <c r="L18" s="16" t="n">
        <v>2080</v>
      </c>
      <c r="M18" s="15" t="n">
        <v>1200</v>
      </c>
      <c r="N18" s="12" t="inlineStr">
        <is>
          <t>Direct</t>
        </is>
      </c>
      <c r="O18" s="17" t="n">
        <v>0.15</v>
      </c>
      <c r="P18" s="16" t="n">
        <v>3772</v>
      </c>
      <c r="Q18" s="12" t="inlineStr">
        <is>
          <t>Marketing Lead</t>
        </is>
      </c>
      <c r="R18" s="12" t="inlineStr">
        <is>
          <t>Medium</t>
        </is>
      </c>
      <c r="S18" s="12" t="inlineStr">
        <is>
          <t>Eight reusable asset formats; brand templates are approved.</t>
        </is>
      </c>
    </row>
    <row r="19" ht="44" customHeight="1">
      <c r="A19" s="18" t="inlineStr">
        <is>
          <t>Campaign launch</t>
        </is>
      </c>
      <c r="B19" s="19" t="inlineStr">
        <is>
          <t>1.5.2</t>
        </is>
      </c>
      <c r="C19" s="19" t="n">
        <v>2</v>
      </c>
      <c r="D19" s="19" t="inlineStr">
        <is>
          <t>1.5</t>
        </is>
      </c>
      <c r="E19" s="12" t="inlineStr">
        <is>
          <t>Ratio</t>
        </is>
      </c>
      <c r="F19" s="13" t="n">
        <v>5</v>
      </c>
      <c r="G19" s="13" t="n">
        <v>8</v>
      </c>
      <c r="H19" s="13" t="n">
        <v>12</v>
      </c>
      <c r="I19" s="14" t="n">
        <v>7</v>
      </c>
      <c r="J19" s="13" t="n">
        <v>28</v>
      </c>
      <c r="K19" s="15" t="n">
        <v>65</v>
      </c>
      <c r="L19" s="16" t="n">
        <v>1820</v>
      </c>
      <c r="M19" s="15" t="n">
        <v>4500</v>
      </c>
      <c r="N19" s="12" t="inlineStr">
        <is>
          <t>Direct</t>
        </is>
      </c>
      <c r="O19" s="17" t="n">
        <v>0.2</v>
      </c>
      <c r="P19" s="16" t="n">
        <v>7584</v>
      </c>
      <c r="Q19" s="12" t="inlineStr">
        <is>
          <t>Marketing Lead</t>
        </is>
      </c>
      <c r="R19" s="12" t="inlineStr">
        <is>
          <t>High</t>
        </is>
      </c>
      <c r="S19" s="12" t="inlineStr">
        <is>
          <t>Paid media mix matches the prior event.</t>
        </is>
      </c>
    </row>
    <row r="20" ht="32" customHeight="1">
      <c r="A20" s="9" t="inlineStr">
        <is>
          <t>Event delivery</t>
        </is>
      </c>
      <c r="B20" s="3" t="inlineStr">
        <is>
          <t>1.6</t>
        </is>
      </c>
      <c r="C20" s="3" t="n">
        <v>1</v>
      </c>
      <c r="D20" s="3" t="inlineStr">
        <is>
          <t>1</t>
        </is>
      </c>
      <c r="E20" s="3" t="inlineStr">
        <is>
          <t>Bottom-up rollup</t>
        </is>
      </c>
      <c r="F20" s="4" t="n"/>
      <c r="G20" s="4" t="n"/>
      <c r="H20" s="4" t="n"/>
      <c r="I20" s="5" t="n"/>
      <c r="J20" s="4" t="n">
        <v>76</v>
      </c>
      <c r="K20" s="6" t="n"/>
      <c r="L20" s="7" t="n">
        <v>3920</v>
      </c>
      <c r="M20" s="6" t="n">
        <v>2200</v>
      </c>
      <c r="N20" s="3" t="n"/>
      <c r="O20" s="8" t="n"/>
      <c r="P20" s="7" t="n">
        <v>6802</v>
      </c>
      <c r="Q20" s="3" t="inlineStr">
        <is>
          <t>Operations Lead</t>
        </is>
      </c>
      <c r="R20" s="3" t="inlineStr">
        <is>
          <t>Summary</t>
        </is>
      </c>
      <c r="S20" s="3" t="inlineStr">
        <is>
          <t>Rollup of child work packages.</t>
        </is>
      </c>
    </row>
    <row r="21" ht="44" customHeight="1">
      <c r="A21" s="18" t="inlineStr">
        <is>
          <t>On-site staffing</t>
        </is>
      </c>
      <c r="B21" s="19" t="inlineStr">
        <is>
          <t>1.6.1</t>
        </is>
      </c>
      <c r="C21" s="19" t="n">
        <v>2</v>
      </c>
      <c r="D21" s="19" t="inlineStr">
        <is>
          <t>1.6</t>
        </is>
      </c>
      <c r="E21" s="12" t="inlineStr">
        <is>
          <t>Ratio</t>
        </is>
      </c>
      <c r="F21" s="13" t="n">
        <v>2</v>
      </c>
      <c r="G21" s="13" t="n">
        <v>3</v>
      </c>
      <c r="H21" s="13" t="n">
        <v>4</v>
      </c>
      <c r="I21" s="14" t="n">
        <v>2</v>
      </c>
      <c r="J21" s="13" t="n">
        <v>56</v>
      </c>
      <c r="K21" s="15" t="n">
        <v>45</v>
      </c>
      <c r="L21" s="16" t="n">
        <v>2520</v>
      </c>
      <c r="M21" s="15" t="n">
        <v>2200</v>
      </c>
      <c r="N21" s="12" t="inlineStr">
        <is>
          <t>Direct</t>
        </is>
      </c>
      <c r="O21" s="17" t="n">
        <v>0.1</v>
      </c>
      <c r="P21" s="16" t="n">
        <v>5192</v>
      </c>
      <c r="Q21" s="12" t="inlineStr">
        <is>
          <t>Operations Lead</t>
        </is>
      </c>
      <c r="R21" s="12" t="inlineStr">
        <is>
          <t>Low</t>
        </is>
      </c>
      <c r="S21" s="12" t="inlineStr">
        <is>
          <t>Eight staff cover two event days under the approved shift plan.</t>
        </is>
      </c>
    </row>
    <row r="22" ht="44" customHeight="1">
      <c r="A22" s="10" t="inlineStr">
        <is>
          <t>Run of show</t>
        </is>
      </c>
      <c r="B22" s="11" t="inlineStr">
        <is>
          <t>1.6.2</t>
        </is>
      </c>
      <c r="C22" s="11" t="n">
        <v>2</v>
      </c>
      <c r="D22" s="11" t="inlineStr">
        <is>
          <t>1.6</t>
        </is>
      </c>
      <c r="E22" s="12" t="inlineStr">
        <is>
          <t>Expert judgment</t>
        </is>
      </c>
      <c r="F22" s="13" t="n">
        <v>2</v>
      </c>
      <c r="G22" s="13" t="n">
        <v>3</v>
      </c>
      <c r="H22" s="13" t="n">
        <v>5</v>
      </c>
      <c r="I22" s="14" t="n">
        <v>3</v>
      </c>
      <c r="J22" s="13" t="n">
        <v>20</v>
      </c>
      <c r="K22" s="15" t="n">
        <v>70</v>
      </c>
      <c r="L22" s="16" t="n">
        <v>1400</v>
      </c>
      <c r="M22" s="15" t="n">
        <v>0</v>
      </c>
      <c r="N22" s="12" t="inlineStr">
        <is>
          <t>Direct</t>
        </is>
      </c>
      <c r="O22" s="17" t="n">
        <v>0.15</v>
      </c>
      <c r="P22" s="16" t="n">
        <v>1610</v>
      </c>
      <c r="Q22" s="12" t="inlineStr">
        <is>
          <t>Operations Lead</t>
        </is>
      </c>
      <c r="R22" s="12" t="inlineStr">
        <is>
          <t>Low</t>
        </is>
      </c>
      <c r="S22" s="12" t="inlineStr">
        <is>
          <t>One rehearsal and one control room are sufficient.</t>
        </is>
      </c>
    </row>
    <row r="23" ht="32" customHeight="1">
      <c r="A23" s="9" t="inlineStr">
        <is>
          <t>Closeout</t>
        </is>
      </c>
      <c r="B23" s="3" t="inlineStr">
        <is>
          <t>1.7</t>
        </is>
      </c>
      <c r="C23" s="3" t="n">
        <v>1</v>
      </c>
      <c r="D23" s="3" t="inlineStr">
        <is>
          <t>1</t>
        </is>
      </c>
      <c r="E23" s="3" t="inlineStr">
        <is>
          <t>Bottom-up rollup</t>
        </is>
      </c>
      <c r="F23" s="4" t="n"/>
      <c r="G23" s="4" t="n"/>
      <c r="H23" s="4" t="n"/>
      <c r="I23" s="5" t="n"/>
      <c r="J23" s="4" t="n">
        <v>24</v>
      </c>
      <c r="K23" s="6" t="n"/>
      <c r="L23" s="7" t="n">
        <v>1320</v>
      </c>
      <c r="M23" s="6" t="n">
        <v>0</v>
      </c>
      <c r="N23" s="3" t="n"/>
      <c r="O23" s="8" t="n"/>
      <c r="P23" s="7" t="n">
        <v>1424.5</v>
      </c>
      <c r="Q23" s="3" t="inlineStr">
        <is>
          <t>Project Manager</t>
        </is>
      </c>
      <c r="R23" s="3" t="inlineStr">
        <is>
          <t>Summary</t>
        </is>
      </c>
      <c r="S23" s="3" t="inlineStr">
        <is>
          <t>Rollup of child work packages.</t>
        </is>
      </c>
    </row>
    <row r="24" ht="44" customHeight="1">
      <c r="A24" s="10" t="inlineStr">
        <is>
          <t>Reconcile invoices</t>
        </is>
      </c>
      <c r="B24" s="11" t="inlineStr">
        <is>
          <t>1.7.1</t>
        </is>
      </c>
      <c r="C24" s="11" t="n">
        <v>2</v>
      </c>
      <c r="D24" s="11" t="inlineStr">
        <is>
          <t>1.7</t>
        </is>
      </c>
      <c r="E24" s="12" t="inlineStr">
        <is>
          <t>Template</t>
        </is>
      </c>
      <c r="F24" s="13" t="n">
        <v>2</v>
      </c>
      <c r="G24" s="13" t="n">
        <v>3</v>
      </c>
      <c r="H24" s="13" t="n">
        <v>5</v>
      </c>
      <c r="I24" s="14" t="n">
        <v>3</v>
      </c>
      <c r="J24" s="13" t="n">
        <v>14</v>
      </c>
      <c r="K24" s="15" t="n">
        <v>55</v>
      </c>
      <c r="L24" s="16" t="n">
        <v>770</v>
      </c>
      <c r="M24" s="15" t="n">
        <v>0</v>
      </c>
      <c r="N24" s="12" t="inlineStr">
        <is>
          <t>Direct project overhead</t>
        </is>
      </c>
      <c r="O24" s="17" t="n">
        <v>0.1</v>
      </c>
      <c r="P24" s="16" t="n">
        <v>847.0000000000001</v>
      </c>
      <c r="Q24" s="12" t="inlineStr">
        <is>
          <t>Finance Lead</t>
        </is>
      </c>
      <c r="R24" s="12" t="inlineStr">
        <is>
          <t>Low</t>
        </is>
      </c>
      <c r="S24" s="12" t="inlineStr">
        <is>
          <t>All vendors invoice within ten business days.</t>
        </is>
      </c>
    </row>
    <row r="25" ht="44" customHeight="1">
      <c r="A25" s="18" t="inlineStr">
        <is>
          <t>Lessons learned</t>
        </is>
      </c>
      <c r="B25" s="19" t="inlineStr">
        <is>
          <t>1.7.2</t>
        </is>
      </c>
      <c r="C25" s="19" t="n">
        <v>2</v>
      </c>
      <c r="D25" s="19" t="inlineStr">
        <is>
          <t>1.7</t>
        </is>
      </c>
      <c r="E25" s="12" t="inlineStr">
        <is>
          <t>Template</t>
        </is>
      </c>
      <c r="F25" s="13" t="n">
        <v>1</v>
      </c>
      <c r="G25" s="13" t="n">
        <v>2</v>
      </c>
      <c r="H25" s="13" t="n">
        <v>3</v>
      </c>
      <c r="I25" s="14" t="n">
        <v>2</v>
      </c>
      <c r="J25" s="13" t="n">
        <v>10</v>
      </c>
      <c r="K25" s="15" t="n">
        <v>55</v>
      </c>
      <c r="L25" s="16" t="n">
        <v>550</v>
      </c>
      <c r="M25" s="15" t="n">
        <v>0</v>
      </c>
      <c r="N25" s="12" t="inlineStr">
        <is>
          <t>Direct project overhead</t>
        </is>
      </c>
      <c r="O25" s="17" t="n">
        <v>0.05</v>
      </c>
      <c r="P25" s="16" t="n">
        <v>577.5</v>
      </c>
      <c r="Q25" s="12" t="inlineStr">
        <is>
          <t>Project Manager</t>
        </is>
      </c>
      <c r="R25" s="12" t="inlineStr">
        <is>
          <t>Low</t>
        </is>
      </c>
      <c r="S25" s="12" t="inlineStr">
        <is>
          <t>Core team attends a 90-minute retrospective.</t>
        </is>
      </c>
    </row>
  </sheetData>
  <autoFilter ref="A1:S25"/>
  <dataValidations count="2">
    <dataValidation sqref="E2:E25" showDropDown="0" showInputMessage="0" showErrorMessage="0" allowBlank="1" type="list">
      <formula1>"Expert judgment,Delphi,Ratio,Apportion,Template,Parametric,Range,Bottom-up rollup"</formula1>
    </dataValidation>
    <dataValidation sqref="R2:R25" showDropDown="0" showInputMessage="0" showErrorMessage="0" allowBlank="1" type="list">
      <formula1>"Low,Medium,High,Summary"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D6D"/>
    <outlinePr summaryBelow="1" summaryRight="1"/>
    <pageSetUpPr/>
  </sheetPr>
  <dimension ref="A2:C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5" customWidth="1" min="3" max="3"/>
  </cols>
  <sheetData>
    <row r="2">
      <c r="A2" s="20" t="inlineStr">
        <is>
          <t>Studio 5: Conference Estimating Lab</t>
        </is>
      </c>
    </row>
    <row r="3">
      <c r="A3" s="21" t="inlineStr">
        <is>
          <t>Audience: IMSE 456/656 students. Target engine: Smartsheet.</t>
        </is>
      </c>
    </row>
    <row r="5">
      <c r="A5" s="22" t="inlineStr">
        <is>
          <t>Starting decision</t>
        </is>
      </c>
    </row>
    <row r="7" ht="28" customHeight="1">
      <c r="A7" s="1" t="inlineStr">
        <is>
          <t>Measure</t>
        </is>
      </c>
      <c r="B7" s="1" t="inlineStr">
        <is>
          <t>Value</t>
        </is>
      </c>
      <c r="C7" s="1" t="inlineStr">
        <is>
          <t>Interpretation</t>
        </is>
      </c>
    </row>
    <row r="8" ht="30" customHeight="1">
      <c r="A8" s="19" t="inlineStr">
        <is>
          <t>Top-down sponsor cap</t>
        </is>
      </c>
      <c r="B8" s="23" t="n">
        <v>80000</v>
      </c>
      <c r="C8" s="19" t="inlineStr">
        <is>
          <t>A decision threshold, not a task estimate</t>
        </is>
      </c>
    </row>
    <row r="9" ht="30" customHeight="1">
      <c r="A9" s="19" t="inlineStr">
        <is>
          <t>Bottom-up starting estimate</t>
        </is>
      </c>
      <c r="B9" s="23" t="n">
        <v>82511</v>
      </c>
      <c r="C9" s="19" t="inlineStr">
        <is>
          <t>Rollup of work-package labor, nonlabor, and contingency</t>
        </is>
      </c>
    </row>
    <row r="10" ht="30" customHeight="1">
      <c r="A10" s="19" t="inlineStr">
        <is>
          <t>Variance to cap</t>
        </is>
      </c>
      <c r="B10" s="24" t="n">
        <v>2511</v>
      </c>
      <c r="C10" s="19" t="inlineStr">
        <is>
          <t>Positive means the estimate exceeds the cap</t>
        </is>
      </c>
    </row>
    <row r="11" ht="30" customHeight="1">
      <c r="A11" s="19" t="inlineStr">
        <is>
          <t>Variance %</t>
        </is>
      </c>
      <c r="B11" s="25" t="n">
        <v>0.0313875</v>
      </c>
      <c r="C11" s="19" t="inlineStr">
        <is>
          <t>The initial estimate is 3.1% above the cap</t>
        </is>
      </c>
    </row>
    <row r="13">
      <c r="A13" s="26" t="inlineStr">
        <is>
          <t>Student workflow</t>
        </is>
      </c>
    </row>
    <row r="14" ht="38" customHeight="1">
      <c r="A14" s="27" t="n">
        <v>1</v>
      </c>
      <c r="B14" s="19" t="inlineStr">
        <is>
          <t>Import this workbook into Smartsheet and select the Smartsheet Import worksheet.</t>
        </is>
      </c>
      <c r="C14" s="28" t="n"/>
    </row>
    <row r="15" ht="38" customHeight="1">
      <c r="A15" s="27" t="n">
        <v>2</v>
      </c>
      <c r="B15" s="19" t="inlineStr">
        <is>
          <t>Keep Task Name as the primary column. Indent rows using Indent Level and verify every Parent WBS.</t>
        </is>
      </c>
      <c r="C15" s="28" t="n"/>
    </row>
    <row r="16" ht="38" customHeight="1">
      <c r="A16" s="27" t="n">
        <v>3</v>
      </c>
      <c r="B16" s="19" t="inlineStr">
        <is>
          <t>Format currency and percentage columns, then add the Smartsheet formulas from Formula Guide.</t>
        </is>
      </c>
      <c r="C16" s="28" t="n"/>
    </row>
    <row r="17" ht="38" customHeight="1">
      <c r="A17" s="27" t="n">
        <v>4</v>
      </c>
      <c r="B17" s="19" t="inlineStr">
        <is>
          <t>Sort or filter for High risk. Improve at least three assumptions with a source, threshold, or condition.</t>
        </is>
      </c>
      <c r="C17" s="28" t="n"/>
    </row>
    <row r="18" ht="38" customHeight="1">
      <c r="A18" s="27" t="n">
        <v>5</v>
      </c>
      <c r="B18" s="19" t="inlineStr">
        <is>
          <t>Re-estimate one high-risk work package with a second method and record why the result changed.</t>
        </is>
      </c>
      <c r="C18" s="28" t="n"/>
    </row>
    <row r="19" ht="38" customHeight="1">
      <c r="A19" s="27" t="n">
        <v>6</v>
      </c>
      <c r="B19" s="19" t="inlineStr">
        <is>
          <t>Compare the revised bottom-up total with the $80,000 cap. Recommend scope change, additional funding, or acceptance.</t>
        </is>
      </c>
      <c r="C19" s="28" t="n"/>
    </row>
    <row r="21">
      <c r="A21" s="26" t="inlineStr">
        <is>
          <t>Submission</t>
        </is>
      </c>
    </row>
    <row r="22" ht="32" customHeight="1">
      <c r="A22" s="27" t="inlineStr">
        <is>
          <t>Evidence</t>
        </is>
      </c>
      <c r="B22" s="19" t="inlineStr">
        <is>
          <t>One screenshot showing hierarchy, formulas, and risk formatting</t>
        </is>
      </c>
      <c r="C22" s="28" t="n"/>
    </row>
    <row r="23" ht="32" customHeight="1">
      <c r="A23" s="27" t="inlineStr">
        <is>
          <t>Sheet</t>
        </is>
      </c>
      <c r="B23" s="19" t="inlineStr">
        <is>
          <t>Exported Smartsheet with the revised estimate</t>
        </is>
      </c>
      <c r="C23" s="28" t="n"/>
    </row>
    <row r="24" ht="32" customHeight="1">
      <c r="A24" s="27" t="inlineStr">
        <is>
          <t>Decision</t>
        </is>
      </c>
      <c r="B24" s="19" t="inlineStr">
        <is>
          <t>A 100-word recommendation explaining the cap variance and next action</t>
        </is>
      </c>
      <c r="C24" s="28" t="n"/>
    </row>
    <row r="26">
      <c r="A26" s="29" t="inlineStr">
        <is>
          <t>Compatibility note</t>
        </is>
      </c>
      <c r="B26" s="30" t="inlineStr">
        <is>
          <t>Smartsheet accepts Excel imports, but Excel formulas may not translate because formula syntax differs. This workbook therefore imports calculated values and provides Smartsheet-native formulas separately.</t>
        </is>
      </c>
    </row>
    <row r="27"/>
    <row r="28">
      <c r="A28" s="29" t="inlineStr">
        <is>
          <t>Source</t>
        </is>
      </c>
      <c r="B28" s="31" t="inlineStr">
        <is>
          <t>https://help.smartsheet.com/articles/504553-import-files-to-create-new-sheets</t>
        </is>
      </c>
    </row>
  </sheetData>
  <mergeCells count="13">
    <mergeCell ref="B24:C24"/>
    <mergeCell ref="B16:C16"/>
    <mergeCell ref="A13:C13"/>
    <mergeCell ref="B15:C15"/>
    <mergeCell ref="B19:C19"/>
    <mergeCell ref="B28:C28"/>
    <mergeCell ref="B23:C23"/>
    <mergeCell ref="B22:C22"/>
    <mergeCell ref="B14:C14"/>
    <mergeCell ref="B26:C27"/>
    <mergeCell ref="A21:C21"/>
    <mergeCell ref="B17:C17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DAA9E"/>
    <outlinePr summaryBelow="1" summaryRight="1"/>
    <pageSetUpPr/>
  </sheetPr>
  <dimension ref="A2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4" customWidth="1" min="2" max="2"/>
    <col width="44" customWidth="1" min="3" max="3"/>
  </cols>
  <sheetData>
    <row r="2">
      <c r="A2" s="32" t="inlineStr">
        <is>
          <t>Smartsheet formula guide</t>
        </is>
      </c>
    </row>
    <row r="3">
      <c r="A3" s="21" t="inlineStr">
        <is>
          <t>Add these as column formulas for leaf rows. Use SUM(CHILDREN()) only for additive summary fields.</t>
        </is>
      </c>
    </row>
    <row r="5" ht="28" customHeight="1">
      <c r="A5" s="1" t="inlineStr">
        <is>
          <t>Target column</t>
        </is>
      </c>
      <c r="B5" s="1" t="inlineStr">
        <is>
          <t>Smartsheet formula</t>
        </is>
      </c>
      <c r="C5" s="1" t="inlineStr">
        <is>
          <t>Purpose</t>
        </is>
      </c>
    </row>
    <row r="6" ht="38" customHeight="1">
      <c r="A6" s="19" t="inlineStr">
        <is>
          <t>Duration Range (days)</t>
        </is>
      </c>
      <c r="B6" s="33" t="inlineStr">
        <is>
          <t>'=[High Duration (days)]@row - [Low Duration (days)]@row</t>
        </is>
      </c>
      <c r="C6" s="19" t="inlineStr">
        <is>
          <t>High minus low</t>
        </is>
      </c>
    </row>
    <row r="7" ht="38" customHeight="1">
      <c r="A7" s="19" t="inlineStr">
        <is>
          <t>Labor Cost</t>
        </is>
      </c>
      <c r="B7" s="33" t="inlineStr">
        <is>
          <t>'=[Planned Effort (hours)]@row * [Labor Rate]@row</t>
        </is>
      </c>
      <c r="C7" s="19" t="inlineStr">
        <is>
          <t>Effort multiplied by rate</t>
        </is>
      </c>
    </row>
    <row r="8" ht="38" customHeight="1">
      <c r="A8" s="19" t="inlineStr">
        <is>
          <t>Total Estimate</t>
        </is>
      </c>
      <c r="B8" s="33" t="inlineStr">
        <is>
          <t>'=([Labor Cost]@row + [Nonlabor Cost]@row) * (1 + [Contingency %]@row)</t>
        </is>
      </c>
      <c r="C8" s="19" t="inlineStr">
        <is>
          <t>Cost including visible contingency</t>
        </is>
      </c>
    </row>
    <row r="9" ht="38" customHeight="1">
      <c r="A9" s="19" t="inlineStr">
        <is>
          <t>Summary Planned Effort</t>
        </is>
      </c>
      <c r="B9" s="33" t="inlineStr">
        <is>
          <t>'=SUM(CHILDREN())</t>
        </is>
      </c>
      <c r="C9" s="19" t="inlineStr">
        <is>
          <t>Use in Planned Effort on parent rows</t>
        </is>
      </c>
    </row>
    <row r="10" ht="38" customHeight="1">
      <c r="A10" s="19" t="inlineStr">
        <is>
          <t>Summary Labor Cost</t>
        </is>
      </c>
      <c r="B10" s="33" t="inlineStr">
        <is>
          <t>'=SUM(CHILDREN())</t>
        </is>
      </c>
      <c r="C10" s="19" t="inlineStr">
        <is>
          <t>Use in Labor Cost on parent rows</t>
        </is>
      </c>
    </row>
    <row r="11" ht="38" customHeight="1">
      <c r="A11" s="19" t="inlineStr">
        <is>
          <t>Summary Nonlabor Cost</t>
        </is>
      </c>
      <c r="B11" s="33" t="inlineStr">
        <is>
          <t>'=SUM(CHILDREN())</t>
        </is>
      </c>
      <c r="C11" s="19" t="inlineStr">
        <is>
          <t>Use in Nonlabor Cost on parent rows</t>
        </is>
      </c>
    </row>
    <row r="12" ht="38" customHeight="1">
      <c r="A12" s="19" t="inlineStr">
        <is>
          <t>Summary Total Estimate</t>
        </is>
      </c>
      <c r="B12" s="33" t="inlineStr">
        <is>
          <t>'=SUM(CHILDREN())</t>
        </is>
      </c>
      <c r="C12" s="19" t="inlineStr">
        <is>
          <t>Use in Total Estimate on parent rows</t>
        </is>
      </c>
    </row>
    <row r="14">
      <c r="A14" s="22" t="inlineStr">
        <is>
          <t>Hierarchy</t>
        </is>
      </c>
    </row>
    <row r="15">
      <c r="A15" s="34" t="inlineStr">
        <is>
          <t>Use the Indent Level column as a guide. Indent Level 1 under WBS 1, then Indent Level 2 under its matching Parent WBS. Smartsheet hierarchy uses indentation rather than the WBS code itself.</t>
        </is>
      </c>
    </row>
    <row r="16"/>
    <row r="18">
      <c r="A18" s="29" t="inlineStr">
        <is>
          <t>Official help</t>
        </is>
      </c>
      <c r="B18" s="31" t="inlineStr">
        <is>
          <t>https://help.smartsheet.com/articles/504734-hierarchy-indenting-outdenting-rows</t>
        </is>
      </c>
    </row>
  </sheetData>
  <mergeCells count="2">
    <mergeCell ref="B18:C18"/>
    <mergeCell ref="A15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2026-09-20T20:50:03Z</dcterms:created>
  <dcterms:modified xmlns:dcterms="http://purl.org/dc/terms/" xmlns:xsi="http://www.w3.org/2001/XMLSchema-instance" xsi:type="dcterms:W3CDTF">2026-09-20T20:50:03Z</dcterms:modified>
</cp:coreProperties>
</file>