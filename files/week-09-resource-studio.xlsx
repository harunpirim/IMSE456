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Load ES" sheetId="2" state="visible" r:id="rId2"/>
    <sheet name="Level 3" sheetId="3" state="visible" r:id="rId3"/>
    <sheet name="Level 2" sheetId="4" state="visible" r:id="rId4"/>
    <sheet name="Loan" sheetId="5" state="visible" r:id="rId5"/>
    <sheet name="Log" sheetId="6" state="visible" r:id="rId6"/>
    <sheet name="Budget" sheetId="7" state="visible" r:id="rId7"/>
    <sheet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b val="1"/>
      <color rgb="000F5A4B"/>
      <sz val="14"/>
    </font>
    <font>
      <i val="1"/>
      <color rgb="00555555"/>
    </font>
    <font>
      <b val="1"/>
      <color rgb="00FFFFFF"/>
    </font>
    <font>
      <b val="1"/>
    </font>
    <font>
      <b val="1"/>
      <color rgb="000F5A4B"/>
    </font>
    <font>
      <sz val="9"/>
    </font>
    <font>
      <b val="1"/>
      <sz val="9"/>
    </font>
    <font>
      <b val="1"/>
      <color rgb="00B5543A"/>
      <sz val="9"/>
    </font>
  </fonts>
  <fills count="4">
    <fill>
      <patternFill/>
    </fill>
    <fill>
      <patternFill patternType="gray125"/>
    </fill>
    <fill>
      <patternFill patternType="solid">
        <fgColor rgb="000F5A4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1" customWidth="1" min="4" max="4"/>
    <col width="12" customWidth="1" min="5" max="5"/>
    <col width="11" customWidth="1" min="6" max="6"/>
    <col width="13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</cols>
  <sheetData>
    <row r="1">
      <c r="A1" s="1" t="inlineStr">
        <is>
          <t>Studio 9 · Conference activities, coordinators and cost</t>
        </is>
      </c>
    </row>
    <row r="2">
      <c r="A2" s="2" t="inlineStr">
        <is>
          <t>Week 6 network with two additions: coordinators needed while the activity runs, and its direct cost. Fill the yellow CPM cells (Week 6) before the Load sheet.</t>
        </is>
      </c>
    </row>
    <row r="4" ht="30" customHeight="1">
      <c r="A4" s="3" t="inlineStr">
        <is>
          <t>ID</t>
        </is>
      </c>
      <c r="B4" s="3" t="inlineStr">
        <is>
          <t>Activity</t>
        </is>
      </c>
      <c r="C4" s="3" t="inlineStr">
        <is>
          <t>Predecessors</t>
        </is>
      </c>
      <c r="D4" s="3" t="inlineStr">
        <is>
          <t>Duration (days)</t>
        </is>
      </c>
      <c r="E4" s="3" t="inlineStr">
        <is>
          <t>Coordinators</t>
        </is>
      </c>
      <c r="F4" s="3" t="inlineStr">
        <is>
          <t>Cost ($)</t>
        </is>
      </c>
      <c r="G4" s="3" t="inlineStr">
        <is>
          <t>Cost per day ($)</t>
        </is>
      </c>
      <c r="H4" s="3" t="inlineStr">
        <is>
          <t>ES</t>
        </is>
      </c>
      <c r="I4" s="3" t="inlineStr">
        <is>
          <t>EF</t>
        </is>
      </c>
      <c r="J4" s="3" t="inlineStr">
        <is>
          <t>LS</t>
        </is>
      </c>
      <c r="K4" s="3" t="inlineStr">
        <is>
          <t>LF</t>
        </is>
      </c>
      <c r="L4" s="3" t="inlineStr">
        <is>
          <t>Total slack</t>
        </is>
      </c>
    </row>
    <row r="5">
      <c r="A5" s="4" t="inlineStr">
        <is>
          <t>A</t>
        </is>
      </c>
      <c r="B5" s="5" t="inlineStr">
        <is>
          <t>Approve event brief</t>
        </is>
      </c>
      <c r="C5" s="4" t="inlineStr">
        <is>
          <t>—</t>
        </is>
      </c>
      <c r="D5" s="4" t="n">
        <v>2</v>
      </c>
      <c r="E5" s="4" t="n">
        <v>1</v>
      </c>
      <c r="F5" s="6" t="n">
        <v>2000</v>
      </c>
      <c r="G5" s="6">
        <f>F5/D5</f>
        <v/>
      </c>
      <c r="H5" s="7" t="n"/>
      <c r="I5" s="7" t="n"/>
      <c r="J5" s="7" t="n"/>
      <c r="K5" s="7" t="n"/>
      <c r="L5" s="7" t="n"/>
    </row>
    <row r="6">
      <c r="A6" s="4" t="inlineStr">
        <is>
          <t>B</t>
        </is>
      </c>
      <c r="B6" s="5" t="inlineStr">
        <is>
          <t>Contract venue</t>
        </is>
      </c>
      <c r="C6" s="4" t="inlineStr">
        <is>
          <t>A</t>
        </is>
      </c>
      <c r="D6" s="4" t="n">
        <v>5</v>
      </c>
      <c r="E6" s="4" t="n">
        <v>2</v>
      </c>
      <c r="F6" s="6" t="n">
        <v>30000</v>
      </c>
      <c r="G6" s="6">
        <f>F6/D6</f>
        <v/>
      </c>
      <c r="H6" s="7" t="n"/>
      <c r="I6" s="7" t="n"/>
      <c r="J6" s="7" t="n"/>
      <c r="K6" s="7" t="n"/>
      <c r="L6" s="7" t="n"/>
    </row>
    <row r="7">
      <c r="A7" s="4" t="inlineStr">
        <is>
          <t>C</t>
        </is>
      </c>
      <c r="B7" s="5" t="inlineStr">
        <is>
          <t>Draft program</t>
        </is>
      </c>
      <c r="C7" s="4" t="inlineStr">
        <is>
          <t>A</t>
        </is>
      </c>
      <c r="D7" s="4" t="n">
        <v>6</v>
      </c>
      <c r="E7" s="4" t="n">
        <v>1</v>
      </c>
      <c r="F7" s="6" t="n">
        <v>6000</v>
      </c>
      <c r="G7" s="6">
        <f>F7/D7</f>
        <v/>
      </c>
      <c r="H7" s="7" t="n"/>
      <c r="I7" s="7" t="n"/>
      <c r="J7" s="7" t="n"/>
      <c r="K7" s="7" t="n"/>
      <c r="L7" s="7" t="n"/>
    </row>
    <row r="8">
      <c r="A8" s="4" t="inlineStr">
        <is>
          <t>D</t>
        </is>
      </c>
      <c r="B8" s="5" t="inlineStr">
        <is>
          <t>Configure registration</t>
        </is>
      </c>
      <c r="C8" s="4" t="inlineStr">
        <is>
          <t>B</t>
        </is>
      </c>
      <c r="D8" s="4" t="n">
        <v>4</v>
      </c>
      <c r="E8" s="4" t="n">
        <v>1</v>
      </c>
      <c r="F8" s="6" t="n">
        <v>8000</v>
      </c>
      <c r="G8" s="6">
        <f>F8/D8</f>
        <v/>
      </c>
      <c r="H8" s="7" t="n"/>
      <c r="I8" s="7" t="n"/>
      <c r="J8" s="7" t="n"/>
      <c r="K8" s="7" t="n"/>
      <c r="L8" s="7" t="n"/>
    </row>
    <row r="9">
      <c r="A9" s="4" t="inlineStr">
        <is>
          <t>E</t>
        </is>
      </c>
      <c r="B9" s="5" t="inlineStr">
        <is>
          <t>Confirm speakers</t>
        </is>
      </c>
      <c r="C9" s="4" t="inlineStr">
        <is>
          <t>C</t>
        </is>
      </c>
      <c r="D9" s="4" t="n">
        <v>8</v>
      </c>
      <c r="E9" s="4" t="n">
        <v>2</v>
      </c>
      <c r="F9" s="6" t="n">
        <v>12000</v>
      </c>
      <c r="G9" s="6">
        <f>F9/D9</f>
        <v/>
      </c>
      <c r="H9" s="7" t="n"/>
      <c r="I9" s="7" t="n"/>
      <c r="J9" s="7" t="n"/>
      <c r="K9" s="7" t="n"/>
      <c r="L9" s="7" t="n"/>
    </row>
    <row r="10">
      <c r="A10" s="4" t="inlineStr">
        <is>
          <t>F</t>
        </is>
      </c>
      <c r="B10" s="5" t="inlineStr">
        <is>
          <t>Recruit exhibitors</t>
        </is>
      </c>
      <c r="C10" s="4" t="inlineStr">
        <is>
          <t>C</t>
        </is>
      </c>
      <c r="D10" s="4" t="n">
        <v>5</v>
      </c>
      <c r="E10" s="4" t="n">
        <v>2</v>
      </c>
      <c r="F10" s="6" t="n">
        <v>2500</v>
      </c>
      <c r="G10" s="6">
        <f>F10/D10</f>
        <v/>
      </c>
      <c r="H10" s="7" t="n"/>
      <c r="I10" s="7" t="n"/>
      <c r="J10" s="7" t="n"/>
      <c r="K10" s="7" t="n"/>
      <c r="L10" s="7" t="n"/>
    </row>
    <row r="11">
      <c r="A11" s="4" t="inlineStr">
        <is>
          <t>G</t>
        </is>
      </c>
      <c r="B11" s="5" t="inlineStr">
        <is>
          <t>Publish program</t>
        </is>
      </c>
      <c r="C11" s="4" t="inlineStr">
        <is>
          <t>D, E</t>
        </is>
      </c>
      <c r="D11" s="4" t="n">
        <v>3</v>
      </c>
      <c r="E11" s="4" t="n">
        <v>1</v>
      </c>
      <c r="F11" s="6" t="n">
        <v>3000</v>
      </c>
      <c r="G11" s="6">
        <f>F11/D11</f>
        <v/>
      </c>
      <c r="H11" s="7" t="n"/>
      <c r="I11" s="7" t="n"/>
      <c r="J11" s="7" t="n"/>
      <c r="K11" s="7" t="n"/>
      <c r="L11" s="7" t="n"/>
    </row>
    <row r="12">
      <c r="A12" s="4" t="inlineStr">
        <is>
          <t>H</t>
        </is>
      </c>
      <c r="B12" s="5" t="inlineStr">
        <is>
          <t>Prepare on-site materials</t>
        </is>
      </c>
      <c r="C12" s="4" t="inlineStr">
        <is>
          <t>F, G</t>
        </is>
      </c>
      <c r="D12" s="4" t="n">
        <v>4</v>
      </c>
      <c r="E12" s="4" t="n">
        <v>2</v>
      </c>
      <c r="F12" s="6" t="n">
        <v>4000</v>
      </c>
      <c r="G12" s="6">
        <f>F12/D12</f>
        <v/>
      </c>
      <c r="H12" s="7" t="n"/>
      <c r="I12" s="7" t="n"/>
      <c r="J12" s="7" t="n"/>
      <c r="K12" s="7" t="n"/>
      <c r="L12" s="7" t="n"/>
    </row>
    <row r="13">
      <c r="A13" s="4" t="inlineStr">
        <is>
          <t>I</t>
        </is>
      </c>
      <c r="B13" s="5" t="inlineStr">
        <is>
          <t>Complete rehearsal</t>
        </is>
      </c>
      <c r="C13" s="4" t="inlineStr">
        <is>
          <t>H</t>
        </is>
      </c>
      <c r="D13" s="4" t="n">
        <v>2</v>
      </c>
      <c r="E13" s="4" t="n">
        <v>2</v>
      </c>
      <c r="F13" s="6" t="n">
        <v>2500</v>
      </c>
      <c r="G13" s="6">
        <f>F13/D13</f>
        <v/>
      </c>
      <c r="H13" s="7" t="n"/>
      <c r="I13" s="7" t="n"/>
      <c r="J13" s="7" t="n"/>
      <c r="K13" s="7" t="n"/>
      <c r="L13" s="7" t="n"/>
    </row>
    <row r="14">
      <c r="B14" s="8" t="inlineStr">
        <is>
          <t>Total</t>
        </is>
      </c>
      <c r="F14" s="9">
        <f>SUM(F5:F13)</f>
        <v/>
      </c>
    </row>
    <row r="16">
      <c r="A16" s="8" t="inlineStr">
        <is>
          <t>Project duration with unlimited coordinators (days)</t>
        </is>
      </c>
      <c r="F16" s="7" t="n"/>
    </row>
    <row r="17">
      <c r="A17" s="2" t="inlineStr">
        <is>
          <t>Scenario 1: three coordinators. Scenario 2: two. Scenario 3: two, plus a third for five consecutive days of your choosing. Coordinators are interchangeable; an activity cannot be split once started.</t>
        </is>
      </c>
    </row>
  </sheetData>
  <mergeCells count="1"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7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</cols>
  <sheetData>
    <row r="1">
      <c r="A1" s="1" t="inlineStr">
        <is>
          <t>Early-start load</t>
        </is>
      </c>
    </row>
    <row r="2">
      <c r="A2" s="2" t="inlineStr">
        <is>
          <t>Enter the ES values from the Activities sheet as the start days. This is the plan before anyone looks at the team.</t>
        </is>
      </c>
    </row>
    <row r="4" ht="30" customHeight="1">
      <c r="A4" s="3" t="inlineStr">
        <is>
          <t>ID</t>
        </is>
      </c>
      <c r="B4" s="3" t="inlineStr">
        <is>
          <t>Coord.</t>
        </is>
      </c>
      <c r="C4" s="3" t="inlineStr">
        <is>
          <t>Dur.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1</t>
        </is>
      </c>
      <c r="G4" s="3" t="inlineStr">
        <is>
          <t>2</t>
        </is>
      </c>
      <c r="H4" s="3" t="inlineStr">
        <is>
          <t>3</t>
        </is>
      </c>
      <c r="I4" s="3" t="inlineStr">
        <is>
          <t>4</t>
        </is>
      </c>
      <c r="J4" s="3" t="inlineStr">
        <is>
          <t>5</t>
        </is>
      </c>
      <c r="K4" s="3" t="inlineStr">
        <is>
          <t>6</t>
        </is>
      </c>
      <c r="L4" s="3" t="inlineStr">
        <is>
          <t>7</t>
        </is>
      </c>
      <c r="M4" s="3" t="inlineStr">
        <is>
          <t>8</t>
        </is>
      </c>
      <c r="N4" s="3" t="inlineStr">
        <is>
          <t>9</t>
        </is>
      </c>
      <c r="O4" s="3" t="inlineStr">
        <is>
          <t>10</t>
        </is>
      </c>
      <c r="P4" s="3" t="inlineStr">
        <is>
          <t>11</t>
        </is>
      </c>
      <c r="Q4" s="3" t="inlineStr">
        <is>
          <t>12</t>
        </is>
      </c>
      <c r="R4" s="3" t="inlineStr">
        <is>
          <t>13</t>
        </is>
      </c>
      <c r="S4" s="3" t="inlineStr">
        <is>
          <t>14</t>
        </is>
      </c>
      <c r="T4" s="3" t="inlineStr">
        <is>
          <t>15</t>
        </is>
      </c>
      <c r="U4" s="3" t="inlineStr">
        <is>
          <t>16</t>
        </is>
      </c>
      <c r="V4" s="3" t="inlineStr">
        <is>
          <t>17</t>
        </is>
      </c>
      <c r="W4" s="3" t="inlineStr">
        <is>
          <t>18</t>
        </is>
      </c>
      <c r="X4" s="3" t="inlineStr">
        <is>
          <t>19</t>
        </is>
      </c>
      <c r="Y4" s="3" t="inlineStr">
        <is>
          <t>20</t>
        </is>
      </c>
      <c r="Z4" s="3" t="inlineStr">
        <is>
          <t>21</t>
        </is>
      </c>
      <c r="AA4" s="3" t="inlineStr">
        <is>
          <t>22</t>
        </is>
      </c>
      <c r="AB4" s="3" t="inlineStr">
        <is>
          <t>23</t>
        </is>
      </c>
      <c r="AC4" s="3" t="inlineStr">
        <is>
          <t>24</t>
        </is>
      </c>
      <c r="AD4" s="3" t="inlineStr">
        <is>
          <t>25</t>
        </is>
      </c>
      <c r="AE4" s="3" t="inlineStr">
        <is>
          <t>26</t>
        </is>
      </c>
      <c r="AF4" s="3" t="inlineStr">
        <is>
          <t>27</t>
        </is>
      </c>
      <c r="AG4" s="3" t="inlineStr">
        <is>
          <t>28</t>
        </is>
      </c>
      <c r="AH4" s="3" t="inlineStr">
        <is>
          <t>29</t>
        </is>
      </c>
      <c r="AI4" s="3" t="inlineStr">
        <is>
          <t>30</t>
        </is>
      </c>
      <c r="AJ4" s="3" t="inlineStr">
        <is>
          <t>31</t>
        </is>
      </c>
      <c r="AK4" s="3" t="inlineStr">
        <is>
          <t>32</t>
        </is>
      </c>
      <c r="AL4" s="3" t="inlineStr">
        <is>
          <t>33</t>
        </is>
      </c>
      <c r="AM4" s="3" t="inlineStr">
        <is>
          <t>34</t>
        </is>
      </c>
      <c r="AN4" s="3" t="inlineStr">
        <is>
          <t>35</t>
        </is>
      </c>
      <c r="AO4" s="3" t="inlineStr">
        <is>
          <t>36</t>
        </is>
      </c>
      <c r="AP4" s="3" t="inlineStr">
        <is>
          <t>37</t>
        </is>
      </c>
      <c r="AQ4" s="3" t="inlineStr">
        <is>
          <t>38</t>
        </is>
      </c>
      <c r="AR4" s="3" t="inlineStr">
        <is>
          <t>39</t>
        </is>
      </c>
      <c r="AS4" s="3" t="inlineStr">
        <is>
          <t>40</t>
        </is>
      </c>
    </row>
    <row r="5">
      <c r="A5" s="10" t="inlineStr">
        <is>
          <t>A</t>
        </is>
      </c>
      <c r="B5" s="4" t="n">
        <v>1</v>
      </c>
      <c r="C5" s="4" t="n">
        <v>2</v>
      </c>
      <c r="D5" s="7" t="n"/>
      <c r="E5" s="4">
        <f>IF(D5="","",D5+C5)</f>
        <v/>
      </c>
      <c r="F5" s="11">
        <f>IF(D5="","",IF(AND(F$4&gt;D5,F$4&lt;=E5),B5,""))</f>
        <v/>
      </c>
      <c r="G5" s="11">
        <f>IF(D5="","",IF(AND(G$4&gt;D5,G$4&lt;=E5),B5,""))</f>
        <v/>
      </c>
      <c r="H5" s="11">
        <f>IF(D5="","",IF(AND(H$4&gt;D5,H$4&lt;=E5),B5,""))</f>
        <v/>
      </c>
      <c r="I5" s="11">
        <f>IF(D5="","",IF(AND(I$4&gt;D5,I$4&lt;=E5),B5,""))</f>
        <v/>
      </c>
      <c r="J5" s="11">
        <f>IF(D5="","",IF(AND(J$4&gt;D5,J$4&lt;=E5),B5,""))</f>
        <v/>
      </c>
      <c r="K5" s="11">
        <f>IF(D5="","",IF(AND(K$4&gt;D5,K$4&lt;=E5),B5,""))</f>
        <v/>
      </c>
      <c r="L5" s="11">
        <f>IF(D5="","",IF(AND(L$4&gt;D5,L$4&lt;=E5),B5,""))</f>
        <v/>
      </c>
      <c r="M5" s="11">
        <f>IF(D5="","",IF(AND(M$4&gt;D5,M$4&lt;=E5),B5,""))</f>
        <v/>
      </c>
      <c r="N5" s="11">
        <f>IF(D5="","",IF(AND(N$4&gt;D5,N$4&lt;=E5),B5,""))</f>
        <v/>
      </c>
      <c r="O5" s="11">
        <f>IF(D5="","",IF(AND(O$4&gt;D5,O$4&lt;=E5),B5,""))</f>
        <v/>
      </c>
      <c r="P5" s="11">
        <f>IF(D5="","",IF(AND(P$4&gt;D5,P$4&lt;=E5),B5,""))</f>
        <v/>
      </c>
      <c r="Q5" s="11">
        <f>IF(D5="","",IF(AND(Q$4&gt;D5,Q$4&lt;=E5),B5,""))</f>
        <v/>
      </c>
      <c r="R5" s="11">
        <f>IF(D5="","",IF(AND(R$4&gt;D5,R$4&lt;=E5),B5,""))</f>
        <v/>
      </c>
      <c r="S5" s="11">
        <f>IF(D5="","",IF(AND(S$4&gt;D5,S$4&lt;=E5),B5,""))</f>
        <v/>
      </c>
      <c r="T5" s="11">
        <f>IF(D5="","",IF(AND(T$4&gt;D5,T$4&lt;=E5),B5,""))</f>
        <v/>
      </c>
      <c r="U5" s="11">
        <f>IF(D5="","",IF(AND(U$4&gt;D5,U$4&lt;=E5),B5,""))</f>
        <v/>
      </c>
      <c r="V5" s="11">
        <f>IF(D5="","",IF(AND(V$4&gt;D5,V$4&lt;=E5),B5,""))</f>
        <v/>
      </c>
      <c r="W5" s="11">
        <f>IF(D5="","",IF(AND(W$4&gt;D5,W$4&lt;=E5),B5,""))</f>
        <v/>
      </c>
      <c r="X5" s="11">
        <f>IF(D5="","",IF(AND(X$4&gt;D5,X$4&lt;=E5),B5,""))</f>
        <v/>
      </c>
      <c r="Y5" s="11">
        <f>IF(D5="","",IF(AND(Y$4&gt;D5,Y$4&lt;=E5),B5,""))</f>
        <v/>
      </c>
      <c r="Z5" s="11">
        <f>IF(D5="","",IF(AND(Z$4&gt;D5,Z$4&lt;=E5),B5,""))</f>
        <v/>
      </c>
      <c r="AA5" s="11">
        <f>IF(D5="","",IF(AND(AA$4&gt;D5,AA$4&lt;=E5),B5,""))</f>
        <v/>
      </c>
      <c r="AB5" s="11">
        <f>IF(D5="","",IF(AND(AB$4&gt;D5,AB$4&lt;=E5),B5,""))</f>
        <v/>
      </c>
      <c r="AC5" s="11">
        <f>IF(D5="","",IF(AND(AC$4&gt;D5,AC$4&lt;=E5),B5,""))</f>
        <v/>
      </c>
      <c r="AD5" s="11">
        <f>IF(D5="","",IF(AND(AD$4&gt;D5,AD$4&lt;=E5),B5,""))</f>
        <v/>
      </c>
      <c r="AE5" s="11">
        <f>IF(D5="","",IF(AND(AE$4&gt;D5,AE$4&lt;=E5),B5,""))</f>
        <v/>
      </c>
      <c r="AF5" s="11">
        <f>IF(D5="","",IF(AND(AF$4&gt;D5,AF$4&lt;=E5),B5,""))</f>
        <v/>
      </c>
      <c r="AG5" s="11">
        <f>IF(D5="","",IF(AND(AG$4&gt;D5,AG$4&lt;=E5),B5,""))</f>
        <v/>
      </c>
      <c r="AH5" s="11">
        <f>IF(D5="","",IF(AND(AH$4&gt;D5,AH$4&lt;=E5),B5,""))</f>
        <v/>
      </c>
      <c r="AI5" s="11">
        <f>IF(D5="","",IF(AND(AI$4&gt;D5,AI$4&lt;=E5),B5,""))</f>
        <v/>
      </c>
      <c r="AJ5" s="11">
        <f>IF(D5="","",IF(AND(AJ$4&gt;D5,AJ$4&lt;=E5),B5,""))</f>
        <v/>
      </c>
      <c r="AK5" s="11">
        <f>IF(D5="","",IF(AND(AK$4&gt;D5,AK$4&lt;=E5),B5,""))</f>
        <v/>
      </c>
      <c r="AL5" s="11">
        <f>IF(D5="","",IF(AND(AL$4&gt;D5,AL$4&lt;=E5),B5,""))</f>
        <v/>
      </c>
      <c r="AM5" s="11">
        <f>IF(D5="","",IF(AND(AM$4&gt;D5,AM$4&lt;=E5),B5,""))</f>
        <v/>
      </c>
      <c r="AN5" s="11">
        <f>IF(D5="","",IF(AND(AN$4&gt;D5,AN$4&lt;=E5),B5,""))</f>
        <v/>
      </c>
      <c r="AO5" s="11">
        <f>IF(D5="","",IF(AND(AO$4&gt;D5,AO$4&lt;=E5),B5,""))</f>
        <v/>
      </c>
      <c r="AP5" s="11">
        <f>IF(D5="","",IF(AND(AP$4&gt;D5,AP$4&lt;=E5),B5,""))</f>
        <v/>
      </c>
      <c r="AQ5" s="11">
        <f>IF(D5="","",IF(AND(AQ$4&gt;D5,AQ$4&lt;=E5),B5,""))</f>
        <v/>
      </c>
      <c r="AR5" s="11">
        <f>IF(D5="","",IF(AND(AR$4&gt;D5,AR$4&lt;=E5),B5,""))</f>
        <v/>
      </c>
      <c r="AS5" s="11">
        <f>IF(D5="","",IF(AND(AS$4&gt;D5,AS$4&lt;=E5),B5,""))</f>
        <v/>
      </c>
    </row>
    <row r="6">
      <c r="A6" s="10" t="inlineStr">
        <is>
          <t>B</t>
        </is>
      </c>
      <c r="B6" s="4" t="n">
        <v>2</v>
      </c>
      <c r="C6" s="4" t="n">
        <v>5</v>
      </c>
      <c r="D6" s="7" t="n"/>
      <c r="E6" s="4">
        <f>IF(D6="","",D6+C6)</f>
        <v/>
      </c>
      <c r="F6" s="11">
        <f>IF(D6="","",IF(AND(F$4&gt;D6,F$4&lt;=E6),B6,""))</f>
        <v/>
      </c>
      <c r="G6" s="11">
        <f>IF(D6="","",IF(AND(G$4&gt;D6,G$4&lt;=E6),B6,""))</f>
        <v/>
      </c>
      <c r="H6" s="11">
        <f>IF(D6="","",IF(AND(H$4&gt;D6,H$4&lt;=E6),B6,""))</f>
        <v/>
      </c>
      <c r="I6" s="11">
        <f>IF(D6="","",IF(AND(I$4&gt;D6,I$4&lt;=E6),B6,""))</f>
        <v/>
      </c>
      <c r="J6" s="11">
        <f>IF(D6="","",IF(AND(J$4&gt;D6,J$4&lt;=E6),B6,""))</f>
        <v/>
      </c>
      <c r="K6" s="11">
        <f>IF(D6="","",IF(AND(K$4&gt;D6,K$4&lt;=E6),B6,""))</f>
        <v/>
      </c>
      <c r="L6" s="11">
        <f>IF(D6="","",IF(AND(L$4&gt;D6,L$4&lt;=E6),B6,""))</f>
        <v/>
      </c>
      <c r="M6" s="11">
        <f>IF(D6="","",IF(AND(M$4&gt;D6,M$4&lt;=E6),B6,""))</f>
        <v/>
      </c>
      <c r="N6" s="11">
        <f>IF(D6="","",IF(AND(N$4&gt;D6,N$4&lt;=E6),B6,""))</f>
        <v/>
      </c>
      <c r="O6" s="11">
        <f>IF(D6="","",IF(AND(O$4&gt;D6,O$4&lt;=E6),B6,""))</f>
        <v/>
      </c>
      <c r="P6" s="11">
        <f>IF(D6="","",IF(AND(P$4&gt;D6,P$4&lt;=E6),B6,""))</f>
        <v/>
      </c>
      <c r="Q6" s="11">
        <f>IF(D6="","",IF(AND(Q$4&gt;D6,Q$4&lt;=E6),B6,""))</f>
        <v/>
      </c>
      <c r="R6" s="11">
        <f>IF(D6="","",IF(AND(R$4&gt;D6,R$4&lt;=E6),B6,""))</f>
        <v/>
      </c>
      <c r="S6" s="11">
        <f>IF(D6="","",IF(AND(S$4&gt;D6,S$4&lt;=E6),B6,""))</f>
        <v/>
      </c>
      <c r="T6" s="11">
        <f>IF(D6="","",IF(AND(T$4&gt;D6,T$4&lt;=E6),B6,""))</f>
        <v/>
      </c>
      <c r="U6" s="11">
        <f>IF(D6="","",IF(AND(U$4&gt;D6,U$4&lt;=E6),B6,""))</f>
        <v/>
      </c>
      <c r="V6" s="11">
        <f>IF(D6="","",IF(AND(V$4&gt;D6,V$4&lt;=E6),B6,""))</f>
        <v/>
      </c>
      <c r="W6" s="11">
        <f>IF(D6="","",IF(AND(W$4&gt;D6,W$4&lt;=E6),B6,""))</f>
        <v/>
      </c>
      <c r="X6" s="11">
        <f>IF(D6="","",IF(AND(X$4&gt;D6,X$4&lt;=E6),B6,""))</f>
        <v/>
      </c>
      <c r="Y6" s="11">
        <f>IF(D6="","",IF(AND(Y$4&gt;D6,Y$4&lt;=E6),B6,""))</f>
        <v/>
      </c>
      <c r="Z6" s="11">
        <f>IF(D6="","",IF(AND(Z$4&gt;D6,Z$4&lt;=E6),B6,""))</f>
        <v/>
      </c>
      <c r="AA6" s="11">
        <f>IF(D6="","",IF(AND(AA$4&gt;D6,AA$4&lt;=E6),B6,""))</f>
        <v/>
      </c>
      <c r="AB6" s="11">
        <f>IF(D6="","",IF(AND(AB$4&gt;D6,AB$4&lt;=E6),B6,""))</f>
        <v/>
      </c>
      <c r="AC6" s="11">
        <f>IF(D6="","",IF(AND(AC$4&gt;D6,AC$4&lt;=E6),B6,""))</f>
        <v/>
      </c>
      <c r="AD6" s="11">
        <f>IF(D6="","",IF(AND(AD$4&gt;D6,AD$4&lt;=E6),B6,""))</f>
        <v/>
      </c>
      <c r="AE6" s="11">
        <f>IF(D6="","",IF(AND(AE$4&gt;D6,AE$4&lt;=E6),B6,""))</f>
        <v/>
      </c>
      <c r="AF6" s="11">
        <f>IF(D6="","",IF(AND(AF$4&gt;D6,AF$4&lt;=E6),B6,""))</f>
        <v/>
      </c>
      <c r="AG6" s="11">
        <f>IF(D6="","",IF(AND(AG$4&gt;D6,AG$4&lt;=E6),B6,""))</f>
        <v/>
      </c>
      <c r="AH6" s="11">
        <f>IF(D6="","",IF(AND(AH$4&gt;D6,AH$4&lt;=E6),B6,""))</f>
        <v/>
      </c>
      <c r="AI6" s="11">
        <f>IF(D6="","",IF(AND(AI$4&gt;D6,AI$4&lt;=E6),B6,""))</f>
        <v/>
      </c>
      <c r="AJ6" s="11">
        <f>IF(D6="","",IF(AND(AJ$4&gt;D6,AJ$4&lt;=E6),B6,""))</f>
        <v/>
      </c>
      <c r="AK6" s="11">
        <f>IF(D6="","",IF(AND(AK$4&gt;D6,AK$4&lt;=E6),B6,""))</f>
        <v/>
      </c>
      <c r="AL6" s="11">
        <f>IF(D6="","",IF(AND(AL$4&gt;D6,AL$4&lt;=E6),B6,""))</f>
        <v/>
      </c>
      <c r="AM6" s="11">
        <f>IF(D6="","",IF(AND(AM$4&gt;D6,AM$4&lt;=E6),B6,""))</f>
        <v/>
      </c>
      <c r="AN6" s="11">
        <f>IF(D6="","",IF(AND(AN$4&gt;D6,AN$4&lt;=E6),B6,""))</f>
        <v/>
      </c>
      <c r="AO6" s="11">
        <f>IF(D6="","",IF(AND(AO$4&gt;D6,AO$4&lt;=E6),B6,""))</f>
        <v/>
      </c>
      <c r="AP6" s="11">
        <f>IF(D6="","",IF(AND(AP$4&gt;D6,AP$4&lt;=E6),B6,""))</f>
        <v/>
      </c>
      <c r="AQ6" s="11">
        <f>IF(D6="","",IF(AND(AQ$4&gt;D6,AQ$4&lt;=E6),B6,""))</f>
        <v/>
      </c>
      <c r="AR6" s="11">
        <f>IF(D6="","",IF(AND(AR$4&gt;D6,AR$4&lt;=E6),B6,""))</f>
        <v/>
      </c>
      <c r="AS6" s="11">
        <f>IF(D6="","",IF(AND(AS$4&gt;D6,AS$4&lt;=E6),B6,""))</f>
        <v/>
      </c>
    </row>
    <row r="7">
      <c r="A7" s="10" t="inlineStr">
        <is>
          <t>C</t>
        </is>
      </c>
      <c r="B7" s="4" t="n">
        <v>1</v>
      </c>
      <c r="C7" s="4" t="n">
        <v>6</v>
      </c>
      <c r="D7" s="7" t="n"/>
      <c r="E7" s="4">
        <f>IF(D7="","",D7+C7)</f>
        <v/>
      </c>
      <c r="F7" s="11">
        <f>IF(D7="","",IF(AND(F$4&gt;D7,F$4&lt;=E7),B7,""))</f>
        <v/>
      </c>
      <c r="G7" s="11">
        <f>IF(D7="","",IF(AND(G$4&gt;D7,G$4&lt;=E7),B7,""))</f>
        <v/>
      </c>
      <c r="H7" s="11">
        <f>IF(D7="","",IF(AND(H$4&gt;D7,H$4&lt;=E7),B7,""))</f>
        <v/>
      </c>
      <c r="I7" s="11">
        <f>IF(D7="","",IF(AND(I$4&gt;D7,I$4&lt;=E7),B7,""))</f>
        <v/>
      </c>
      <c r="J7" s="11">
        <f>IF(D7="","",IF(AND(J$4&gt;D7,J$4&lt;=E7),B7,""))</f>
        <v/>
      </c>
      <c r="K7" s="11">
        <f>IF(D7="","",IF(AND(K$4&gt;D7,K$4&lt;=E7),B7,""))</f>
        <v/>
      </c>
      <c r="L7" s="11">
        <f>IF(D7="","",IF(AND(L$4&gt;D7,L$4&lt;=E7),B7,""))</f>
        <v/>
      </c>
      <c r="M7" s="11">
        <f>IF(D7="","",IF(AND(M$4&gt;D7,M$4&lt;=E7),B7,""))</f>
        <v/>
      </c>
      <c r="N7" s="11">
        <f>IF(D7="","",IF(AND(N$4&gt;D7,N$4&lt;=E7),B7,""))</f>
        <v/>
      </c>
      <c r="O7" s="11">
        <f>IF(D7="","",IF(AND(O$4&gt;D7,O$4&lt;=E7),B7,""))</f>
        <v/>
      </c>
      <c r="P7" s="11">
        <f>IF(D7="","",IF(AND(P$4&gt;D7,P$4&lt;=E7),B7,""))</f>
        <v/>
      </c>
      <c r="Q7" s="11">
        <f>IF(D7="","",IF(AND(Q$4&gt;D7,Q$4&lt;=E7),B7,""))</f>
        <v/>
      </c>
      <c r="R7" s="11">
        <f>IF(D7="","",IF(AND(R$4&gt;D7,R$4&lt;=E7),B7,""))</f>
        <v/>
      </c>
      <c r="S7" s="11">
        <f>IF(D7="","",IF(AND(S$4&gt;D7,S$4&lt;=E7),B7,""))</f>
        <v/>
      </c>
      <c r="T7" s="11">
        <f>IF(D7="","",IF(AND(T$4&gt;D7,T$4&lt;=E7),B7,""))</f>
        <v/>
      </c>
      <c r="U7" s="11">
        <f>IF(D7="","",IF(AND(U$4&gt;D7,U$4&lt;=E7),B7,""))</f>
        <v/>
      </c>
      <c r="V7" s="11">
        <f>IF(D7="","",IF(AND(V$4&gt;D7,V$4&lt;=E7),B7,""))</f>
        <v/>
      </c>
      <c r="W7" s="11">
        <f>IF(D7="","",IF(AND(W$4&gt;D7,W$4&lt;=E7),B7,""))</f>
        <v/>
      </c>
      <c r="X7" s="11">
        <f>IF(D7="","",IF(AND(X$4&gt;D7,X$4&lt;=E7),B7,""))</f>
        <v/>
      </c>
      <c r="Y7" s="11">
        <f>IF(D7="","",IF(AND(Y$4&gt;D7,Y$4&lt;=E7),B7,""))</f>
        <v/>
      </c>
      <c r="Z7" s="11">
        <f>IF(D7="","",IF(AND(Z$4&gt;D7,Z$4&lt;=E7),B7,""))</f>
        <v/>
      </c>
      <c r="AA7" s="11">
        <f>IF(D7="","",IF(AND(AA$4&gt;D7,AA$4&lt;=E7),B7,""))</f>
        <v/>
      </c>
      <c r="AB7" s="11">
        <f>IF(D7="","",IF(AND(AB$4&gt;D7,AB$4&lt;=E7),B7,""))</f>
        <v/>
      </c>
      <c r="AC7" s="11">
        <f>IF(D7="","",IF(AND(AC$4&gt;D7,AC$4&lt;=E7),B7,""))</f>
        <v/>
      </c>
      <c r="AD7" s="11">
        <f>IF(D7="","",IF(AND(AD$4&gt;D7,AD$4&lt;=E7),B7,""))</f>
        <v/>
      </c>
      <c r="AE7" s="11">
        <f>IF(D7="","",IF(AND(AE$4&gt;D7,AE$4&lt;=E7),B7,""))</f>
        <v/>
      </c>
      <c r="AF7" s="11">
        <f>IF(D7="","",IF(AND(AF$4&gt;D7,AF$4&lt;=E7),B7,""))</f>
        <v/>
      </c>
      <c r="AG7" s="11">
        <f>IF(D7="","",IF(AND(AG$4&gt;D7,AG$4&lt;=E7),B7,""))</f>
        <v/>
      </c>
      <c r="AH7" s="11">
        <f>IF(D7="","",IF(AND(AH$4&gt;D7,AH$4&lt;=E7),B7,""))</f>
        <v/>
      </c>
      <c r="AI7" s="11">
        <f>IF(D7="","",IF(AND(AI$4&gt;D7,AI$4&lt;=E7),B7,""))</f>
        <v/>
      </c>
      <c r="AJ7" s="11">
        <f>IF(D7="","",IF(AND(AJ$4&gt;D7,AJ$4&lt;=E7),B7,""))</f>
        <v/>
      </c>
      <c r="AK7" s="11">
        <f>IF(D7="","",IF(AND(AK$4&gt;D7,AK$4&lt;=E7),B7,""))</f>
        <v/>
      </c>
      <c r="AL7" s="11">
        <f>IF(D7="","",IF(AND(AL$4&gt;D7,AL$4&lt;=E7),B7,""))</f>
        <v/>
      </c>
      <c r="AM7" s="11">
        <f>IF(D7="","",IF(AND(AM$4&gt;D7,AM$4&lt;=E7),B7,""))</f>
        <v/>
      </c>
      <c r="AN7" s="11">
        <f>IF(D7="","",IF(AND(AN$4&gt;D7,AN$4&lt;=E7),B7,""))</f>
        <v/>
      </c>
      <c r="AO7" s="11">
        <f>IF(D7="","",IF(AND(AO$4&gt;D7,AO$4&lt;=E7),B7,""))</f>
        <v/>
      </c>
      <c r="AP7" s="11">
        <f>IF(D7="","",IF(AND(AP$4&gt;D7,AP$4&lt;=E7),B7,""))</f>
        <v/>
      </c>
      <c r="AQ7" s="11">
        <f>IF(D7="","",IF(AND(AQ$4&gt;D7,AQ$4&lt;=E7),B7,""))</f>
        <v/>
      </c>
      <c r="AR7" s="11">
        <f>IF(D7="","",IF(AND(AR$4&gt;D7,AR$4&lt;=E7),B7,""))</f>
        <v/>
      </c>
      <c r="AS7" s="11">
        <f>IF(D7="","",IF(AND(AS$4&gt;D7,AS$4&lt;=E7),B7,""))</f>
        <v/>
      </c>
    </row>
    <row r="8">
      <c r="A8" s="10" t="inlineStr">
        <is>
          <t>D</t>
        </is>
      </c>
      <c r="B8" s="4" t="n">
        <v>1</v>
      </c>
      <c r="C8" s="4" t="n">
        <v>4</v>
      </c>
      <c r="D8" s="7" t="n"/>
      <c r="E8" s="4">
        <f>IF(D8="","",D8+C8)</f>
        <v/>
      </c>
      <c r="F8" s="11">
        <f>IF(D8="","",IF(AND(F$4&gt;D8,F$4&lt;=E8),B8,""))</f>
        <v/>
      </c>
      <c r="G8" s="11">
        <f>IF(D8="","",IF(AND(G$4&gt;D8,G$4&lt;=E8),B8,""))</f>
        <v/>
      </c>
      <c r="H8" s="11">
        <f>IF(D8="","",IF(AND(H$4&gt;D8,H$4&lt;=E8),B8,""))</f>
        <v/>
      </c>
      <c r="I8" s="11">
        <f>IF(D8="","",IF(AND(I$4&gt;D8,I$4&lt;=E8),B8,""))</f>
        <v/>
      </c>
      <c r="J8" s="11">
        <f>IF(D8="","",IF(AND(J$4&gt;D8,J$4&lt;=E8),B8,""))</f>
        <v/>
      </c>
      <c r="K8" s="11">
        <f>IF(D8="","",IF(AND(K$4&gt;D8,K$4&lt;=E8),B8,""))</f>
        <v/>
      </c>
      <c r="L8" s="11">
        <f>IF(D8="","",IF(AND(L$4&gt;D8,L$4&lt;=E8),B8,""))</f>
        <v/>
      </c>
      <c r="M8" s="11">
        <f>IF(D8="","",IF(AND(M$4&gt;D8,M$4&lt;=E8),B8,""))</f>
        <v/>
      </c>
      <c r="N8" s="11">
        <f>IF(D8="","",IF(AND(N$4&gt;D8,N$4&lt;=E8),B8,""))</f>
        <v/>
      </c>
      <c r="O8" s="11">
        <f>IF(D8="","",IF(AND(O$4&gt;D8,O$4&lt;=E8),B8,""))</f>
        <v/>
      </c>
      <c r="P8" s="11">
        <f>IF(D8="","",IF(AND(P$4&gt;D8,P$4&lt;=E8),B8,""))</f>
        <v/>
      </c>
      <c r="Q8" s="11">
        <f>IF(D8="","",IF(AND(Q$4&gt;D8,Q$4&lt;=E8),B8,""))</f>
        <v/>
      </c>
      <c r="R8" s="11">
        <f>IF(D8="","",IF(AND(R$4&gt;D8,R$4&lt;=E8),B8,""))</f>
        <v/>
      </c>
      <c r="S8" s="11">
        <f>IF(D8="","",IF(AND(S$4&gt;D8,S$4&lt;=E8),B8,""))</f>
        <v/>
      </c>
      <c r="T8" s="11">
        <f>IF(D8="","",IF(AND(T$4&gt;D8,T$4&lt;=E8),B8,""))</f>
        <v/>
      </c>
      <c r="U8" s="11">
        <f>IF(D8="","",IF(AND(U$4&gt;D8,U$4&lt;=E8),B8,""))</f>
        <v/>
      </c>
      <c r="V8" s="11">
        <f>IF(D8="","",IF(AND(V$4&gt;D8,V$4&lt;=E8),B8,""))</f>
        <v/>
      </c>
      <c r="W8" s="11">
        <f>IF(D8="","",IF(AND(W$4&gt;D8,W$4&lt;=E8),B8,""))</f>
        <v/>
      </c>
      <c r="X8" s="11">
        <f>IF(D8="","",IF(AND(X$4&gt;D8,X$4&lt;=E8),B8,""))</f>
        <v/>
      </c>
      <c r="Y8" s="11">
        <f>IF(D8="","",IF(AND(Y$4&gt;D8,Y$4&lt;=E8),B8,""))</f>
        <v/>
      </c>
      <c r="Z8" s="11">
        <f>IF(D8="","",IF(AND(Z$4&gt;D8,Z$4&lt;=E8),B8,""))</f>
        <v/>
      </c>
      <c r="AA8" s="11">
        <f>IF(D8="","",IF(AND(AA$4&gt;D8,AA$4&lt;=E8),B8,""))</f>
        <v/>
      </c>
      <c r="AB8" s="11">
        <f>IF(D8="","",IF(AND(AB$4&gt;D8,AB$4&lt;=E8),B8,""))</f>
        <v/>
      </c>
      <c r="AC8" s="11">
        <f>IF(D8="","",IF(AND(AC$4&gt;D8,AC$4&lt;=E8),B8,""))</f>
        <v/>
      </c>
      <c r="AD8" s="11">
        <f>IF(D8="","",IF(AND(AD$4&gt;D8,AD$4&lt;=E8),B8,""))</f>
        <v/>
      </c>
      <c r="AE8" s="11">
        <f>IF(D8="","",IF(AND(AE$4&gt;D8,AE$4&lt;=E8),B8,""))</f>
        <v/>
      </c>
      <c r="AF8" s="11">
        <f>IF(D8="","",IF(AND(AF$4&gt;D8,AF$4&lt;=E8),B8,""))</f>
        <v/>
      </c>
      <c r="AG8" s="11">
        <f>IF(D8="","",IF(AND(AG$4&gt;D8,AG$4&lt;=E8),B8,""))</f>
        <v/>
      </c>
      <c r="AH8" s="11">
        <f>IF(D8="","",IF(AND(AH$4&gt;D8,AH$4&lt;=E8),B8,""))</f>
        <v/>
      </c>
      <c r="AI8" s="11">
        <f>IF(D8="","",IF(AND(AI$4&gt;D8,AI$4&lt;=E8),B8,""))</f>
        <v/>
      </c>
      <c r="AJ8" s="11">
        <f>IF(D8="","",IF(AND(AJ$4&gt;D8,AJ$4&lt;=E8),B8,""))</f>
        <v/>
      </c>
      <c r="AK8" s="11">
        <f>IF(D8="","",IF(AND(AK$4&gt;D8,AK$4&lt;=E8),B8,""))</f>
        <v/>
      </c>
      <c r="AL8" s="11">
        <f>IF(D8="","",IF(AND(AL$4&gt;D8,AL$4&lt;=E8),B8,""))</f>
        <v/>
      </c>
      <c r="AM8" s="11">
        <f>IF(D8="","",IF(AND(AM$4&gt;D8,AM$4&lt;=E8),B8,""))</f>
        <v/>
      </c>
      <c r="AN8" s="11">
        <f>IF(D8="","",IF(AND(AN$4&gt;D8,AN$4&lt;=E8),B8,""))</f>
        <v/>
      </c>
      <c r="AO8" s="11">
        <f>IF(D8="","",IF(AND(AO$4&gt;D8,AO$4&lt;=E8),B8,""))</f>
        <v/>
      </c>
      <c r="AP8" s="11">
        <f>IF(D8="","",IF(AND(AP$4&gt;D8,AP$4&lt;=E8),B8,""))</f>
        <v/>
      </c>
      <c r="AQ8" s="11">
        <f>IF(D8="","",IF(AND(AQ$4&gt;D8,AQ$4&lt;=E8),B8,""))</f>
        <v/>
      </c>
      <c r="AR8" s="11">
        <f>IF(D8="","",IF(AND(AR$4&gt;D8,AR$4&lt;=E8),B8,""))</f>
        <v/>
      </c>
      <c r="AS8" s="11">
        <f>IF(D8="","",IF(AND(AS$4&gt;D8,AS$4&lt;=E8),B8,""))</f>
        <v/>
      </c>
    </row>
    <row r="9">
      <c r="A9" s="10" t="inlineStr">
        <is>
          <t>E</t>
        </is>
      </c>
      <c r="B9" s="4" t="n">
        <v>2</v>
      </c>
      <c r="C9" s="4" t="n">
        <v>8</v>
      </c>
      <c r="D9" s="7" t="n"/>
      <c r="E9" s="4">
        <f>IF(D9="","",D9+C9)</f>
        <v/>
      </c>
      <c r="F9" s="11">
        <f>IF(D9="","",IF(AND(F$4&gt;D9,F$4&lt;=E9),B9,""))</f>
        <v/>
      </c>
      <c r="G9" s="11">
        <f>IF(D9="","",IF(AND(G$4&gt;D9,G$4&lt;=E9),B9,""))</f>
        <v/>
      </c>
      <c r="H9" s="11">
        <f>IF(D9="","",IF(AND(H$4&gt;D9,H$4&lt;=E9),B9,""))</f>
        <v/>
      </c>
      <c r="I9" s="11">
        <f>IF(D9="","",IF(AND(I$4&gt;D9,I$4&lt;=E9),B9,""))</f>
        <v/>
      </c>
      <c r="J9" s="11">
        <f>IF(D9="","",IF(AND(J$4&gt;D9,J$4&lt;=E9),B9,""))</f>
        <v/>
      </c>
      <c r="K9" s="11">
        <f>IF(D9="","",IF(AND(K$4&gt;D9,K$4&lt;=E9),B9,""))</f>
        <v/>
      </c>
      <c r="L9" s="11">
        <f>IF(D9="","",IF(AND(L$4&gt;D9,L$4&lt;=E9),B9,""))</f>
        <v/>
      </c>
      <c r="M9" s="11">
        <f>IF(D9="","",IF(AND(M$4&gt;D9,M$4&lt;=E9),B9,""))</f>
        <v/>
      </c>
      <c r="N9" s="11">
        <f>IF(D9="","",IF(AND(N$4&gt;D9,N$4&lt;=E9),B9,""))</f>
        <v/>
      </c>
      <c r="O9" s="11">
        <f>IF(D9="","",IF(AND(O$4&gt;D9,O$4&lt;=E9),B9,""))</f>
        <v/>
      </c>
      <c r="P9" s="11">
        <f>IF(D9="","",IF(AND(P$4&gt;D9,P$4&lt;=E9),B9,""))</f>
        <v/>
      </c>
      <c r="Q9" s="11">
        <f>IF(D9="","",IF(AND(Q$4&gt;D9,Q$4&lt;=E9),B9,""))</f>
        <v/>
      </c>
      <c r="R9" s="11">
        <f>IF(D9="","",IF(AND(R$4&gt;D9,R$4&lt;=E9),B9,""))</f>
        <v/>
      </c>
      <c r="S9" s="11">
        <f>IF(D9="","",IF(AND(S$4&gt;D9,S$4&lt;=E9),B9,""))</f>
        <v/>
      </c>
      <c r="T9" s="11">
        <f>IF(D9="","",IF(AND(T$4&gt;D9,T$4&lt;=E9),B9,""))</f>
        <v/>
      </c>
      <c r="U9" s="11">
        <f>IF(D9="","",IF(AND(U$4&gt;D9,U$4&lt;=E9),B9,""))</f>
        <v/>
      </c>
      <c r="V9" s="11">
        <f>IF(D9="","",IF(AND(V$4&gt;D9,V$4&lt;=E9),B9,""))</f>
        <v/>
      </c>
      <c r="W9" s="11">
        <f>IF(D9="","",IF(AND(W$4&gt;D9,W$4&lt;=E9),B9,""))</f>
        <v/>
      </c>
      <c r="X9" s="11">
        <f>IF(D9="","",IF(AND(X$4&gt;D9,X$4&lt;=E9),B9,""))</f>
        <v/>
      </c>
      <c r="Y9" s="11">
        <f>IF(D9="","",IF(AND(Y$4&gt;D9,Y$4&lt;=E9),B9,""))</f>
        <v/>
      </c>
      <c r="Z9" s="11">
        <f>IF(D9="","",IF(AND(Z$4&gt;D9,Z$4&lt;=E9),B9,""))</f>
        <v/>
      </c>
      <c r="AA9" s="11">
        <f>IF(D9="","",IF(AND(AA$4&gt;D9,AA$4&lt;=E9),B9,""))</f>
        <v/>
      </c>
      <c r="AB9" s="11">
        <f>IF(D9="","",IF(AND(AB$4&gt;D9,AB$4&lt;=E9),B9,""))</f>
        <v/>
      </c>
      <c r="AC9" s="11">
        <f>IF(D9="","",IF(AND(AC$4&gt;D9,AC$4&lt;=E9),B9,""))</f>
        <v/>
      </c>
      <c r="AD9" s="11">
        <f>IF(D9="","",IF(AND(AD$4&gt;D9,AD$4&lt;=E9),B9,""))</f>
        <v/>
      </c>
      <c r="AE9" s="11">
        <f>IF(D9="","",IF(AND(AE$4&gt;D9,AE$4&lt;=E9),B9,""))</f>
        <v/>
      </c>
      <c r="AF9" s="11">
        <f>IF(D9="","",IF(AND(AF$4&gt;D9,AF$4&lt;=E9),B9,""))</f>
        <v/>
      </c>
      <c r="AG9" s="11">
        <f>IF(D9="","",IF(AND(AG$4&gt;D9,AG$4&lt;=E9),B9,""))</f>
        <v/>
      </c>
      <c r="AH9" s="11">
        <f>IF(D9="","",IF(AND(AH$4&gt;D9,AH$4&lt;=E9),B9,""))</f>
        <v/>
      </c>
      <c r="AI9" s="11">
        <f>IF(D9="","",IF(AND(AI$4&gt;D9,AI$4&lt;=E9),B9,""))</f>
        <v/>
      </c>
      <c r="AJ9" s="11">
        <f>IF(D9="","",IF(AND(AJ$4&gt;D9,AJ$4&lt;=E9),B9,""))</f>
        <v/>
      </c>
      <c r="AK9" s="11">
        <f>IF(D9="","",IF(AND(AK$4&gt;D9,AK$4&lt;=E9),B9,""))</f>
        <v/>
      </c>
      <c r="AL9" s="11">
        <f>IF(D9="","",IF(AND(AL$4&gt;D9,AL$4&lt;=E9),B9,""))</f>
        <v/>
      </c>
      <c r="AM9" s="11">
        <f>IF(D9="","",IF(AND(AM$4&gt;D9,AM$4&lt;=E9),B9,""))</f>
        <v/>
      </c>
      <c r="AN9" s="11">
        <f>IF(D9="","",IF(AND(AN$4&gt;D9,AN$4&lt;=E9),B9,""))</f>
        <v/>
      </c>
      <c r="AO9" s="11">
        <f>IF(D9="","",IF(AND(AO$4&gt;D9,AO$4&lt;=E9),B9,""))</f>
        <v/>
      </c>
      <c r="AP9" s="11">
        <f>IF(D9="","",IF(AND(AP$4&gt;D9,AP$4&lt;=E9),B9,""))</f>
        <v/>
      </c>
      <c r="AQ9" s="11">
        <f>IF(D9="","",IF(AND(AQ$4&gt;D9,AQ$4&lt;=E9),B9,""))</f>
        <v/>
      </c>
      <c r="AR9" s="11">
        <f>IF(D9="","",IF(AND(AR$4&gt;D9,AR$4&lt;=E9),B9,""))</f>
        <v/>
      </c>
      <c r="AS9" s="11">
        <f>IF(D9="","",IF(AND(AS$4&gt;D9,AS$4&lt;=E9),B9,""))</f>
        <v/>
      </c>
    </row>
    <row r="10">
      <c r="A10" s="10" t="inlineStr">
        <is>
          <t>F</t>
        </is>
      </c>
      <c r="B10" s="4" t="n">
        <v>2</v>
      </c>
      <c r="C10" s="4" t="n">
        <v>5</v>
      </c>
      <c r="D10" s="7" t="n"/>
      <c r="E10" s="4">
        <f>IF(D10="","",D10+C10)</f>
        <v/>
      </c>
      <c r="F10" s="11">
        <f>IF(D10="","",IF(AND(F$4&gt;D10,F$4&lt;=E10),B10,""))</f>
        <v/>
      </c>
      <c r="G10" s="11">
        <f>IF(D10="","",IF(AND(G$4&gt;D10,G$4&lt;=E10),B10,""))</f>
        <v/>
      </c>
      <c r="H10" s="11">
        <f>IF(D10="","",IF(AND(H$4&gt;D10,H$4&lt;=E10),B10,""))</f>
        <v/>
      </c>
      <c r="I10" s="11">
        <f>IF(D10="","",IF(AND(I$4&gt;D10,I$4&lt;=E10),B10,""))</f>
        <v/>
      </c>
      <c r="J10" s="11">
        <f>IF(D10="","",IF(AND(J$4&gt;D10,J$4&lt;=E10),B10,""))</f>
        <v/>
      </c>
      <c r="K10" s="11">
        <f>IF(D10="","",IF(AND(K$4&gt;D10,K$4&lt;=E10),B10,""))</f>
        <v/>
      </c>
      <c r="L10" s="11">
        <f>IF(D10="","",IF(AND(L$4&gt;D10,L$4&lt;=E10),B10,""))</f>
        <v/>
      </c>
      <c r="M10" s="11">
        <f>IF(D10="","",IF(AND(M$4&gt;D10,M$4&lt;=E10),B10,""))</f>
        <v/>
      </c>
      <c r="N10" s="11">
        <f>IF(D10="","",IF(AND(N$4&gt;D10,N$4&lt;=E10),B10,""))</f>
        <v/>
      </c>
      <c r="O10" s="11">
        <f>IF(D10="","",IF(AND(O$4&gt;D10,O$4&lt;=E10),B10,""))</f>
        <v/>
      </c>
      <c r="P10" s="11">
        <f>IF(D10="","",IF(AND(P$4&gt;D10,P$4&lt;=E10),B10,""))</f>
        <v/>
      </c>
      <c r="Q10" s="11">
        <f>IF(D10="","",IF(AND(Q$4&gt;D10,Q$4&lt;=E10),B10,""))</f>
        <v/>
      </c>
      <c r="R10" s="11">
        <f>IF(D10="","",IF(AND(R$4&gt;D10,R$4&lt;=E10),B10,""))</f>
        <v/>
      </c>
      <c r="S10" s="11">
        <f>IF(D10="","",IF(AND(S$4&gt;D10,S$4&lt;=E10),B10,""))</f>
        <v/>
      </c>
      <c r="T10" s="11">
        <f>IF(D10="","",IF(AND(T$4&gt;D10,T$4&lt;=E10),B10,""))</f>
        <v/>
      </c>
      <c r="U10" s="11">
        <f>IF(D10="","",IF(AND(U$4&gt;D10,U$4&lt;=E10),B10,""))</f>
        <v/>
      </c>
      <c r="V10" s="11">
        <f>IF(D10="","",IF(AND(V$4&gt;D10,V$4&lt;=E10),B10,""))</f>
        <v/>
      </c>
      <c r="W10" s="11">
        <f>IF(D10="","",IF(AND(W$4&gt;D10,W$4&lt;=E10),B10,""))</f>
        <v/>
      </c>
      <c r="X10" s="11">
        <f>IF(D10="","",IF(AND(X$4&gt;D10,X$4&lt;=E10),B10,""))</f>
        <v/>
      </c>
      <c r="Y10" s="11">
        <f>IF(D10="","",IF(AND(Y$4&gt;D10,Y$4&lt;=E10),B10,""))</f>
        <v/>
      </c>
      <c r="Z10" s="11">
        <f>IF(D10="","",IF(AND(Z$4&gt;D10,Z$4&lt;=E10),B10,""))</f>
        <v/>
      </c>
      <c r="AA10" s="11">
        <f>IF(D10="","",IF(AND(AA$4&gt;D10,AA$4&lt;=E10),B10,""))</f>
        <v/>
      </c>
      <c r="AB10" s="11">
        <f>IF(D10="","",IF(AND(AB$4&gt;D10,AB$4&lt;=E10),B10,""))</f>
        <v/>
      </c>
      <c r="AC10" s="11">
        <f>IF(D10="","",IF(AND(AC$4&gt;D10,AC$4&lt;=E10),B10,""))</f>
        <v/>
      </c>
      <c r="AD10" s="11">
        <f>IF(D10="","",IF(AND(AD$4&gt;D10,AD$4&lt;=E10),B10,""))</f>
        <v/>
      </c>
      <c r="AE10" s="11">
        <f>IF(D10="","",IF(AND(AE$4&gt;D10,AE$4&lt;=E10),B10,""))</f>
        <v/>
      </c>
      <c r="AF10" s="11">
        <f>IF(D10="","",IF(AND(AF$4&gt;D10,AF$4&lt;=E10),B10,""))</f>
        <v/>
      </c>
      <c r="AG10" s="11">
        <f>IF(D10="","",IF(AND(AG$4&gt;D10,AG$4&lt;=E10),B10,""))</f>
        <v/>
      </c>
      <c r="AH10" s="11">
        <f>IF(D10="","",IF(AND(AH$4&gt;D10,AH$4&lt;=E10),B10,""))</f>
        <v/>
      </c>
      <c r="AI10" s="11">
        <f>IF(D10="","",IF(AND(AI$4&gt;D10,AI$4&lt;=E10),B10,""))</f>
        <v/>
      </c>
      <c r="AJ10" s="11">
        <f>IF(D10="","",IF(AND(AJ$4&gt;D10,AJ$4&lt;=E10),B10,""))</f>
        <v/>
      </c>
      <c r="AK10" s="11">
        <f>IF(D10="","",IF(AND(AK$4&gt;D10,AK$4&lt;=E10),B10,""))</f>
        <v/>
      </c>
      <c r="AL10" s="11">
        <f>IF(D10="","",IF(AND(AL$4&gt;D10,AL$4&lt;=E10),B10,""))</f>
        <v/>
      </c>
      <c r="AM10" s="11">
        <f>IF(D10="","",IF(AND(AM$4&gt;D10,AM$4&lt;=E10),B10,""))</f>
        <v/>
      </c>
      <c r="AN10" s="11">
        <f>IF(D10="","",IF(AND(AN$4&gt;D10,AN$4&lt;=E10),B10,""))</f>
        <v/>
      </c>
      <c r="AO10" s="11">
        <f>IF(D10="","",IF(AND(AO$4&gt;D10,AO$4&lt;=E10),B10,""))</f>
        <v/>
      </c>
      <c r="AP10" s="11">
        <f>IF(D10="","",IF(AND(AP$4&gt;D10,AP$4&lt;=E10),B10,""))</f>
        <v/>
      </c>
      <c r="AQ10" s="11">
        <f>IF(D10="","",IF(AND(AQ$4&gt;D10,AQ$4&lt;=E10),B10,""))</f>
        <v/>
      </c>
      <c r="AR10" s="11">
        <f>IF(D10="","",IF(AND(AR$4&gt;D10,AR$4&lt;=E10),B10,""))</f>
        <v/>
      </c>
      <c r="AS10" s="11">
        <f>IF(D10="","",IF(AND(AS$4&gt;D10,AS$4&lt;=E10),B10,""))</f>
        <v/>
      </c>
    </row>
    <row r="11">
      <c r="A11" s="10" t="inlineStr">
        <is>
          <t>G</t>
        </is>
      </c>
      <c r="B11" s="4" t="n">
        <v>1</v>
      </c>
      <c r="C11" s="4" t="n">
        <v>3</v>
      </c>
      <c r="D11" s="7" t="n"/>
      <c r="E11" s="4">
        <f>IF(D11="","",D11+C11)</f>
        <v/>
      </c>
      <c r="F11" s="11">
        <f>IF(D11="","",IF(AND(F$4&gt;D11,F$4&lt;=E11),B11,""))</f>
        <v/>
      </c>
      <c r="G11" s="11">
        <f>IF(D11="","",IF(AND(G$4&gt;D11,G$4&lt;=E11),B11,""))</f>
        <v/>
      </c>
      <c r="H11" s="11">
        <f>IF(D11="","",IF(AND(H$4&gt;D11,H$4&lt;=E11),B11,""))</f>
        <v/>
      </c>
      <c r="I11" s="11">
        <f>IF(D11="","",IF(AND(I$4&gt;D11,I$4&lt;=E11),B11,""))</f>
        <v/>
      </c>
      <c r="J11" s="11">
        <f>IF(D11="","",IF(AND(J$4&gt;D11,J$4&lt;=E11),B11,""))</f>
        <v/>
      </c>
      <c r="K11" s="11">
        <f>IF(D11="","",IF(AND(K$4&gt;D11,K$4&lt;=E11),B11,""))</f>
        <v/>
      </c>
      <c r="L11" s="11">
        <f>IF(D11="","",IF(AND(L$4&gt;D11,L$4&lt;=E11),B11,""))</f>
        <v/>
      </c>
      <c r="M11" s="11">
        <f>IF(D11="","",IF(AND(M$4&gt;D11,M$4&lt;=E11),B11,""))</f>
        <v/>
      </c>
      <c r="N11" s="11">
        <f>IF(D11="","",IF(AND(N$4&gt;D11,N$4&lt;=E11),B11,""))</f>
        <v/>
      </c>
      <c r="O11" s="11">
        <f>IF(D11="","",IF(AND(O$4&gt;D11,O$4&lt;=E11),B11,""))</f>
        <v/>
      </c>
      <c r="P11" s="11">
        <f>IF(D11="","",IF(AND(P$4&gt;D11,P$4&lt;=E11),B11,""))</f>
        <v/>
      </c>
      <c r="Q11" s="11">
        <f>IF(D11="","",IF(AND(Q$4&gt;D11,Q$4&lt;=E11),B11,""))</f>
        <v/>
      </c>
      <c r="R11" s="11">
        <f>IF(D11="","",IF(AND(R$4&gt;D11,R$4&lt;=E11),B11,""))</f>
        <v/>
      </c>
      <c r="S11" s="11">
        <f>IF(D11="","",IF(AND(S$4&gt;D11,S$4&lt;=E11),B11,""))</f>
        <v/>
      </c>
      <c r="T11" s="11">
        <f>IF(D11="","",IF(AND(T$4&gt;D11,T$4&lt;=E11),B11,""))</f>
        <v/>
      </c>
      <c r="U11" s="11">
        <f>IF(D11="","",IF(AND(U$4&gt;D11,U$4&lt;=E11),B11,""))</f>
        <v/>
      </c>
      <c r="V11" s="11">
        <f>IF(D11="","",IF(AND(V$4&gt;D11,V$4&lt;=E11),B11,""))</f>
        <v/>
      </c>
      <c r="W11" s="11">
        <f>IF(D11="","",IF(AND(W$4&gt;D11,W$4&lt;=E11),B11,""))</f>
        <v/>
      </c>
      <c r="X11" s="11">
        <f>IF(D11="","",IF(AND(X$4&gt;D11,X$4&lt;=E11),B11,""))</f>
        <v/>
      </c>
      <c r="Y11" s="11">
        <f>IF(D11="","",IF(AND(Y$4&gt;D11,Y$4&lt;=E11),B11,""))</f>
        <v/>
      </c>
      <c r="Z11" s="11">
        <f>IF(D11="","",IF(AND(Z$4&gt;D11,Z$4&lt;=E11),B11,""))</f>
        <v/>
      </c>
      <c r="AA11" s="11">
        <f>IF(D11="","",IF(AND(AA$4&gt;D11,AA$4&lt;=E11),B11,""))</f>
        <v/>
      </c>
      <c r="AB11" s="11">
        <f>IF(D11="","",IF(AND(AB$4&gt;D11,AB$4&lt;=E11),B11,""))</f>
        <v/>
      </c>
      <c r="AC11" s="11">
        <f>IF(D11="","",IF(AND(AC$4&gt;D11,AC$4&lt;=E11),B11,""))</f>
        <v/>
      </c>
      <c r="AD11" s="11">
        <f>IF(D11="","",IF(AND(AD$4&gt;D11,AD$4&lt;=E11),B11,""))</f>
        <v/>
      </c>
      <c r="AE11" s="11">
        <f>IF(D11="","",IF(AND(AE$4&gt;D11,AE$4&lt;=E11),B11,""))</f>
        <v/>
      </c>
      <c r="AF11" s="11">
        <f>IF(D11="","",IF(AND(AF$4&gt;D11,AF$4&lt;=E11),B11,""))</f>
        <v/>
      </c>
      <c r="AG11" s="11">
        <f>IF(D11="","",IF(AND(AG$4&gt;D11,AG$4&lt;=E11),B11,""))</f>
        <v/>
      </c>
      <c r="AH11" s="11">
        <f>IF(D11="","",IF(AND(AH$4&gt;D11,AH$4&lt;=E11),B11,""))</f>
        <v/>
      </c>
      <c r="AI11" s="11">
        <f>IF(D11="","",IF(AND(AI$4&gt;D11,AI$4&lt;=E11),B11,""))</f>
        <v/>
      </c>
      <c r="AJ11" s="11">
        <f>IF(D11="","",IF(AND(AJ$4&gt;D11,AJ$4&lt;=E11),B11,""))</f>
        <v/>
      </c>
      <c r="AK11" s="11">
        <f>IF(D11="","",IF(AND(AK$4&gt;D11,AK$4&lt;=E11),B11,""))</f>
        <v/>
      </c>
      <c r="AL11" s="11">
        <f>IF(D11="","",IF(AND(AL$4&gt;D11,AL$4&lt;=E11),B11,""))</f>
        <v/>
      </c>
      <c r="AM11" s="11">
        <f>IF(D11="","",IF(AND(AM$4&gt;D11,AM$4&lt;=E11),B11,""))</f>
        <v/>
      </c>
      <c r="AN11" s="11">
        <f>IF(D11="","",IF(AND(AN$4&gt;D11,AN$4&lt;=E11),B11,""))</f>
        <v/>
      </c>
      <c r="AO11" s="11">
        <f>IF(D11="","",IF(AND(AO$4&gt;D11,AO$4&lt;=E11),B11,""))</f>
        <v/>
      </c>
      <c r="AP11" s="11">
        <f>IF(D11="","",IF(AND(AP$4&gt;D11,AP$4&lt;=E11),B11,""))</f>
        <v/>
      </c>
      <c r="AQ11" s="11">
        <f>IF(D11="","",IF(AND(AQ$4&gt;D11,AQ$4&lt;=E11),B11,""))</f>
        <v/>
      </c>
      <c r="AR11" s="11">
        <f>IF(D11="","",IF(AND(AR$4&gt;D11,AR$4&lt;=E11),B11,""))</f>
        <v/>
      </c>
      <c r="AS11" s="11">
        <f>IF(D11="","",IF(AND(AS$4&gt;D11,AS$4&lt;=E11),B11,""))</f>
        <v/>
      </c>
    </row>
    <row r="12">
      <c r="A12" s="10" t="inlineStr">
        <is>
          <t>H</t>
        </is>
      </c>
      <c r="B12" s="4" t="n">
        <v>2</v>
      </c>
      <c r="C12" s="4" t="n">
        <v>4</v>
      </c>
      <c r="D12" s="7" t="n"/>
      <c r="E12" s="4">
        <f>IF(D12="","",D12+C12)</f>
        <v/>
      </c>
      <c r="F12" s="11">
        <f>IF(D12="","",IF(AND(F$4&gt;D12,F$4&lt;=E12),B12,""))</f>
        <v/>
      </c>
      <c r="G12" s="11">
        <f>IF(D12="","",IF(AND(G$4&gt;D12,G$4&lt;=E12),B12,""))</f>
        <v/>
      </c>
      <c r="H12" s="11">
        <f>IF(D12="","",IF(AND(H$4&gt;D12,H$4&lt;=E12),B12,""))</f>
        <v/>
      </c>
      <c r="I12" s="11">
        <f>IF(D12="","",IF(AND(I$4&gt;D12,I$4&lt;=E12),B12,""))</f>
        <v/>
      </c>
      <c r="J12" s="11">
        <f>IF(D12="","",IF(AND(J$4&gt;D12,J$4&lt;=E12),B12,""))</f>
        <v/>
      </c>
      <c r="K12" s="11">
        <f>IF(D12="","",IF(AND(K$4&gt;D12,K$4&lt;=E12),B12,""))</f>
        <v/>
      </c>
      <c r="L12" s="11">
        <f>IF(D12="","",IF(AND(L$4&gt;D12,L$4&lt;=E12),B12,""))</f>
        <v/>
      </c>
      <c r="M12" s="11">
        <f>IF(D12="","",IF(AND(M$4&gt;D12,M$4&lt;=E12),B12,""))</f>
        <v/>
      </c>
      <c r="N12" s="11">
        <f>IF(D12="","",IF(AND(N$4&gt;D12,N$4&lt;=E12),B12,""))</f>
        <v/>
      </c>
      <c r="O12" s="11">
        <f>IF(D12="","",IF(AND(O$4&gt;D12,O$4&lt;=E12),B12,""))</f>
        <v/>
      </c>
      <c r="P12" s="11">
        <f>IF(D12="","",IF(AND(P$4&gt;D12,P$4&lt;=E12),B12,""))</f>
        <v/>
      </c>
      <c r="Q12" s="11">
        <f>IF(D12="","",IF(AND(Q$4&gt;D12,Q$4&lt;=E12),B12,""))</f>
        <v/>
      </c>
      <c r="R12" s="11">
        <f>IF(D12="","",IF(AND(R$4&gt;D12,R$4&lt;=E12),B12,""))</f>
        <v/>
      </c>
      <c r="S12" s="11">
        <f>IF(D12="","",IF(AND(S$4&gt;D12,S$4&lt;=E12),B12,""))</f>
        <v/>
      </c>
      <c r="T12" s="11">
        <f>IF(D12="","",IF(AND(T$4&gt;D12,T$4&lt;=E12),B12,""))</f>
        <v/>
      </c>
      <c r="U12" s="11">
        <f>IF(D12="","",IF(AND(U$4&gt;D12,U$4&lt;=E12),B12,""))</f>
        <v/>
      </c>
      <c r="V12" s="11">
        <f>IF(D12="","",IF(AND(V$4&gt;D12,V$4&lt;=E12),B12,""))</f>
        <v/>
      </c>
      <c r="W12" s="11">
        <f>IF(D12="","",IF(AND(W$4&gt;D12,W$4&lt;=E12),B12,""))</f>
        <v/>
      </c>
      <c r="X12" s="11">
        <f>IF(D12="","",IF(AND(X$4&gt;D12,X$4&lt;=E12),B12,""))</f>
        <v/>
      </c>
      <c r="Y12" s="11">
        <f>IF(D12="","",IF(AND(Y$4&gt;D12,Y$4&lt;=E12),B12,""))</f>
        <v/>
      </c>
      <c r="Z12" s="11">
        <f>IF(D12="","",IF(AND(Z$4&gt;D12,Z$4&lt;=E12),B12,""))</f>
        <v/>
      </c>
      <c r="AA12" s="11">
        <f>IF(D12="","",IF(AND(AA$4&gt;D12,AA$4&lt;=E12),B12,""))</f>
        <v/>
      </c>
      <c r="AB12" s="11">
        <f>IF(D12="","",IF(AND(AB$4&gt;D12,AB$4&lt;=E12),B12,""))</f>
        <v/>
      </c>
      <c r="AC12" s="11">
        <f>IF(D12="","",IF(AND(AC$4&gt;D12,AC$4&lt;=E12),B12,""))</f>
        <v/>
      </c>
      <c r="AD12" s="11">
        <f>IF(D12="","",IF(AND(AD$4&gt;D12,AD$4&lt;=E12),B12,""))</f>
        <v/>
      </c>
      <c r="AE12" s="11">
        <f>IF(D12="","",IF(AND(AE$4&gt;D12,AE$4&lt;=E12),B12,""))</f>
        <v/>
      </c>
      <c r="AF12" s="11">
        <f>IF(D12="","",IF(AND(AF$4&gt;D12,AF$4&lt;=E12),B12,""))</f>
        <v/>
      </c>
      <c r="AG12" s="11">
        <f>IF(D12="","",IF(AND(AG$4&gt;D12,AG$4&lt;=E12),B12,""))</f>
        <v/>
      </c>
      <c r="AH12" s="11">
        <f>IF(D12="","",IF(AND(AH$4&gt;D12,AH$4&lt;=E12),B12,""))</f>
        <v/>
      </c>
      <c r="AI12" s="11">
        <f>IF(D12="","",IF(AND(AI$4&gt;D12,AI$4&lt;=E12),B12,""))</f>
        <v/>
      </c>
      <c r="AJ12" s="11">
        <f>IF(D12="","",IF(AND(AJ$4&gt;D12,AJ$4&lt;=E12),B12,""))</f>
        <v/>
      </c>
      <c r="AK12" s="11">
        <f>IF(D12="","",IF(AND(AK$4&gt;D12,AK$4&lt;=E12),B12,""))</f>
        <v/>
      </c>
      <c r="AL12" s="11">
        <f>IF(D12="","",IF(AND(AL$4&gt;D12,AL$4&lt;=E12),B12,""))</f>
        <v/>
      </c>
      <c r="AM12" s="11">
        <f>IF(D12="","",IF(AND(AM$4&gt;D12,AM$4&lt;=E12),B12,""))</f>
        <v/>
      </c>
      <c r="AN12" s="11">
        <f>IF(D12="","",IF(AND(AN$4&gt;D12,AN$4&lt;=E12),B12,""))</f>
        <v/>
      </c>
      <c r="AO12" s="11">
        <f>IF(D12="","",IF(AND(AO$4&gt;D12,AO$4&lt;=E12),B12,""))</f>
        <v/>
      </c>
      <c r="AP12" s="11">
        <f>IF(D12="","",IF(AND(AP$4&gt;D12,AP$4&lt;=E12),B12,""))</f>
        <v/>
      </c>
      <c r="AQ12" s="11">
        <f>IF(D12="","",IF(AND(AQ$4&gt;D12,AQ$4&lt;=E12),B12,""))</f>
        <v/>
      </c>
      <c r="AR12" s="11">
        <f>IF(D12="","",IF(AND(AR$4&gt;D12,AR$4&lt;=E12),B12,""))</f>
        <v/>
      </c>
      <c r="AS12" s="11">
        <f>IF(D12="","",IF(AND(AS$4&gt;D12,AS$4&lt;=E12),B12,""))</f>
        <v/>
      </c>
    </row>
    <row r="13">
      <c r="A13" s="10" t="inlineStr">
        <is>
          <t>I</t>
        </is>
      </c>
      <c r="B13" s="4" t="n">
        <v>2</v>
      </c>
      <c r="C13" s="4" t="n">
        <v>2</v>
      </c>
      <c r="D13" s="7" t="n"/>
      <c r="E13" s="4">
        <f>IF(D13="","",D13+C13)</f>
        <v/>
      </c>
      <c r="F13" s="11">
        <f>IF(D13="","",IF(AND(F$4&gt;D13,F$4&lt;=E13),B13,""))</f>
        <v/>
      </c>
      <c r="G13" s="11">
        <f>IF(D13="","",IF(AND(G$4&gt;D13,G$4&lt;=E13),B13,""))</f>
        <v/>
      </c>
      <c r="H13" s="11">
        <f>IF(D13="","",IF(AND(H$4&gt;D13,H$4&lt;=E13),B13,""))</f>
        <v/>
      </c>
      <c r="I13" s="11">
        <f>IF(D13="","",IF(AND(I$4&gt;D13,I$4&lt;=E13),B13,""))</f>
        <v/>
      </c>
      <c r="J13" s="11">
        <f>IF(D13="","",IF(AND(J$4&gt;D13,J$4&lt;=E13),B13,""))</f>
        <v/>
      </c>
      <c r="K13" s="11">
        <f>IF(D13="","",IF(AND(K$4&gt;D13,K$4&lt;=E13),B13,""))</f>
        <v/>
      </c>
      <c r="L13" s="11">
        <f>IF(D13="","",IF(AND(L$4&gt;D13,L$4&lt;=E13),B13,""))</f>
        <v/>
      </c>
      <c r="M13" s="11">
        <f>IF(D13="","",IF(AND(M$4&gt;D13,M$4&lt;=E13),B13,""))</f>
        <v/>
      </c>
      <c r="N13" s="11">
        <f>IF(D13="","",IF(AND(N$4&gt;D13,N$4&lt;=E13),B13,""))</f>
        <v/>
      </c>
      <c r="O13" s="11">
        <f>IF(D13="","",IF(AND(O$4&gt;D13,O$4&lt;=E13),B13,""))</f>
        <v/>
      </c>
      <c r="P13" s="11">
        <f>IF(D13="","",IF(AND(P$4&gt;D13,P$4&lt;=E13),B13,""))</f>
        <v/>
      </c>
      <c r="Q13" s="11">
        <f>IF(D13="","",IF(AND(Q$4&gt;D13,Q$4&lt;=E13),B13,""))</f>
        <v/>
      </c>
      <c r="R13" s="11">
        <f>IF(D13="","",IF(AND(R$4&gt;D13,R$4&lt;=E13),B13,""))</f>
        <v/>
      </c>
      <c r="S13" s="11">
        <f>IF(D13="","",IF(AND(S$4&gt;D13,S$4&lt;=E13),B13,""))</f>
        <v/>
      </c>
      <c r="T13" s="11">
        <f>IF(D13="","",IF(AND(T$4&gt;D13,T$4&lt;=E13),B13,""))</f>
        <v/>
      </c>
      <c r="U13" s="11">
        <f>IF(D13="","",IF(AND(U$4&gt;D13,U$4&lt;=E13),B13,""))</f>
        <v/>
      </c>
      <c r="V13" s="11">
        <f>IF(D13="","",IF(AND(V$4&gt;D13,V$4&lt;=E13),B13,""))</f>
        <v/>
      </c>
      <c r="W13" s="11">
        <f>IF(D13="","",IF(AND(W$4&gt;D13,W$4&lt;=E13),B13,""))</f>
        <v/>
      </c>
      <c r="X13" s="11">
        <f>IF(D13="","",IF(AND(X$4&gt;D13,X$4&lt;=E13),B13,""))</f>
        <v/>
      </c>
      <c r="Y13" s="11">
        <f>IF(D13="","",IF(AND(Y$4&gt;D13,Y$4&lt;=E13),B13,""))</f>
        <v/>
      </c>
      <c r="Z13" s="11">
        <f>IF(D13="","",IF(AND(Z$4&gt;D13,Z$4&lt;=E13),B13,""))</f>
        <v/>
      </c>
      <c r="AA13" s="11">
        <f>IF(D13="","",IF(AND(AA$4&gt;D13,AA$4&lt;=E13),B13,""))</f>
        <v/>
      </c>
      <c r="AB13" s="11">
        <f>IF(D13="","",IF(AND(AB$4&gt;D13,AB$4&lt;=E13),B13,""))</f>
        <v/>
      </c>
      <c r="AC13" s="11">
        <f>IF(D13="","",IF(AND(AC$4&gt;D13,AC$4&lt;=E13),B13,""))</f>
        <v/>
      </c>
      <c r="AD13" s="11">
        <f>IF(D13="","",IF(AND(AD$4&gt;D13,AD$4&lt;=E13),B13,""))</f>
        <v/>
      </c>
      <c r="AE13" s="11">
        <f>IF(D13="","",IF(AND(AE$4&gt;D13,AE$4&lt;=E13),B13,""))</f>
        <v/>
      </c>
      <c r="AF13" s="11">
        <f>IF(D13="","",IF(AND(AF$4&gt;D13,AF$4&lt;=E13),B13,""))</f>
        <v/>
      </c>
      <c r="AG13" s="11">
        <f>IF(D13="","",IF(AND(AG$4&gt;D13,AG$4&lt;=E13),B13,""))</f>
        <v/>
      </c>
      <c r="AH13" s="11">
        <f>IF(D13="","",IF(AND(AH$4&gt;D13,AH$4&lt;=E13),B13,""))</f>
        <v/>
      </c>
      <c r="AI13" s="11">
        <f>IF(D13="","",IF(AND(AI$4&gt;D13,AI$4&lt;=E13),B13,""))</f>
        <v/>
      </c>
      <c r="AJ13" s="11">
        <f>IF(D13="","",IF(AND(AJ$4&gt;D13,AJ$4&lt;=E13),B13,""))</f>
        <v/>
      </c>
      <c r="AK13" s="11">
        <f>IF(D13="","",IF(AND(AK$4&gt;D13,AK$4&lt;=E13),B13,""))</f>
        <v/>
      </c>
      <c r="AL13" s="11">
        <f>IF(D13="","",IF(AND(AL$4&gt;D13,AL$4&lt;=E13),B13,""))</f>
        <v/>
      </c>
      <c r="AM13" s="11">
        <f>IF(D13="","",IF(AND(AM$4&gt;D13,AM$4&lt;=E13),B13,""))</f>
        <v/>
      </c>
      <c r="AN13" s="11">
        <f>IF(D13="","",IF(AND(AN$4&gt;D13,AN$4&lt;=E13),B13,""))</f>
        <v/>
      </c>
      <c r="AO13" s="11">
        <f>IF(D13="","",IF(AND(AO$4&gt;D13,AO$4&lt;=E13),B13,""))</f>
        <v/>
      </c>
      <c r="AP13" s="11">
        <f>IF(D13="","",IF(AND(AP$4&gt;D13,AP$4&lt;=E13),B13,""))</f>
        <v/>
      </c>
      <c r="AQ13" s="11">
        <f>IF(D13="","",IF(AND(AQ$4&gt;D13,AQ$4&lt;=E13),B13,""))</f>
        <v/>
      </c>
      <c r="AR13" s="11">
        <f>IF(D13="","",IF(AND(AR$4&gt;D13,AR$4&lt;=E13),B13,""))</f>
        <v/>
      </c>
      <c r="AS13" s="11">
        <f>IF(D13="","",IF(AND(AS$4&gt;D13,AS$4&lt;=E13),B13,""))</f>
        <v/>
      </c>
    </row>
    <row r="14">
      <c r="A14" s="8" t="inlineStr">
        <is>
          <t>Load</t>
        </is>
      </c>
      <c r="F14" s="12">
        <f>SUM(F5:F13)</f>
        <v/>
      </c>
      <c r="G14" s="12">
        <f>SUM(G5:G13)</f>
        <v/>
      </c>
      <c r="H14" s="12">
        <f>SUM(H5:H13)</f>
        <v/>
      </c>
      <c r="I14" s="12">
        <f>SUM(I5:I13)</f>
        <v/>
      </c>
      <c r="J14" s="12">
        <f>SUM(J5:J13)</f>
        <v/>
      </c>
      <c r="K14" s="12">
        <f>SUM(K5:K13)</f>
        <v/>
      </c>
      <c r="L14" s="12">
        <f>SUM(L5:L13)</f>
        <v/>
      </c>
      <c r="M14" s="12">
        <f>SUM(M5:M13)</f>
        <v/>
      </c>
      <c r="N14" s="12">
        <f>SUM(N5:N13)</f>
        <v/>
      </c>
      <c r="O14" s="12">
        <f>SUM(O5:O13)</f>
        <v/>
      </c>
      <c r="P14" s="12">
        <f>SUM(P5:P13)</f>
        <v/>
      </c>
      <c r="Q14" s="12">
        <f>SUM(Q5:Q13)</f>
        <v/>
      </c>
      <c r="R14" s="12">
        <f>SUM(R5:R13)</f>
        <v/>
      </c>
      <c r="S14" s="12">
        <f>SUM(S5:S13)</f>
        <v/>
      </c>
      <c r="T14" s="12">
        <f>SUM(T5:T13)</f>
        <v/>
      </c>
      <c r="U14" s="12">
        <f>SUM(U5:U13)</f>
        <v/>
      </c>
      <c r="V14" s="12">
        <f>SUM(V5:V13)</f>
        <v/>
      </c>
      <c r="W14" s="12">
        <f>SUM(W5:W13)</f>
        <v/>
      </c>
      <c r="X14" s="12">
        <f>SUM(X5:X13)</f>
        <v/>
      </c>
      <c r="Y14" s="12">
        <f>SUM(Y5:Y13)</f>
        <v/>
      </c>
      <c r="Z14" s="12">
        <f>SUM(Z5:Z13)</f>
        <v/>
      </c>
      <c r="AA14" s="12">
        <f>SUM(AA5:AA13)</f>
        <v/>
      </c>
      <c r="AB14" s="12">
        <f>SUM(AB5:AB13)</f>
        <v/>
      </c>
      <c r="AC14" s="12">
        <f>SUM(AC5:AC13)</f>
        <v/>
      </c>
      <c r="AD14" s="12">
        <f>SUM(AD5:AD13)</f>
        <v/>
      </c>
      <c r="AE14" s="12">
        <f>SUM(AE5:AE13)</f>
        <v/>
      </c>
      <c r="AF14" s="12">
        <f>SUM(AF5:AF13)</f>
        <v/>
      </c>
      <c r="AG14" s="12">
        <f>SUM(AG5:AG13)</f>
        <v/>
      </c>
      <c r="AH14" s="12">
        <f>SUM(AH5:AH13)</f>
        <v/>
      </c>
      <c r="AI14" s="12">
        <f>SUM(AI5:AI13)</f>
        <v/>
      </c>
      <c r="AJ14" s="12">
        <f>SUM(AJ5:AJ13)</f>
        <v/>
      </c>
      <c r="AK14" s="12">
        <f>SUM(AK5:AK13)</f>
        <v/>
      </c>
      <c r="AL14" s="12">
        <f>SUM(AL5:AL13)</f>
        <v/>
      </c>
      <c r="AM14" s="12">
        <f>SUM(AM5:AM13)</f>
        <v/>
      </c>
      <c r="AN14" s="12">
        <f>SUM(AN5:AN13)</f>
        <v/>
      </c>
      <c r="AO14" s="12">
        <f>SUM(AO5:AO13)</f>
        <v/>
      </c>
      <c r="AP14" s="12">
        <f>SUM(AP5:AP13)</f>
        <v/>
      </c>
      <c r="AQ14" s="12">
        <f>SUM(AQ5:AQ13)</f>
        <v/>
      </c>
      <c r="AR14" s="12">
        <f>SUM(AR5:AR13)</f>
        <v/>
      </c>
      <c r="AS14" s="12">
        <f>SUM(AS5:AS13)</f>
        <v/>
      </c>
    </row>
    <row r="15">
      <c r="A15" s="8" t="inlineStr">
        <is>
          <t>Available</t>
        </is>
      </c>
      <c r="F15" s="11" t="n">
        <v>3</v>
      </c>
      <c r="G15" s="11" t="n">
        <v>3</v>
      </c>
      <c r="H15" s="11" t="n">
        <v>3</v>
      </c>
      <c r="I15" s="11" t="n">
        <v>3</v>
      </c>
      <c r="J15" s="11" t="n">
        <v>3</v>
      </c>
      <c r="K15" s="11" t="n">
        <v>3</v>
      </c>
      <c r="L15" s="11" t="n">
        <v>3</v>
      </c>
      <c r="M15" s="11" t="n">
        <v>3</v>
      </c>
      <c r="N15" s="11" t="n">
        <v>3</v>
      </c>
      <c r="O15" s="11" t="n">
        <v>3</v>
      </c>
      <c r="P15" s="11" t="n">
        <v>3</v>
      </c>
      <c r="Q15" s="11" t="n">
        <v>3</v>
      </c>
      <c r="R15" s="11" t="n">
        <v>3</v>
      </c>
      <c r="S15" s="11" t="n">
        <v>3</v>
      </c>
      <c r="T15" s="11" t="n">
        <v>3</v>
      </c>
      <c r="U15" s="11" t="n">
        <v>3</v>
      </c>
      <c r="V15" s="11" t="n">
        <v>3</v>
      </c>
      <c r="W15" s="11" t="n">
        <v>3</v>
      </c>
      <c r="X15" s="11" t="n">
        <v>3</v>
      </c>
      <c r="Y15" s="11" t="n">
        <v>3</v>
      </c>
      <c r="Z15" s="11" t="n">
        <v>3</v>
      </c>
      <c r="AA15" s="11" t="n">
        <v>3</v>
      </c>
      <c r="AB15" s="11" t="n">
        <v>3</v>
      </c>
      <c r="AC15" s="11" t="n">
        <v>3</v>
      </c>
      <c r="AD15" s="11" t="n">
        <v>3</v>
      </c>
      <c r="AE15" s="11" t="n">
        <v>3</v>
      </c>
      <c r="AF15" s="11" t="n">
        <v>3</v>
      </c>
      <c r="AG15" s="11" t="n">
        <v>3</v>
      </c>
      <c r="AH15" s="11" t="n">
        <v>3</v>
      </c>
      <c r="AI15" s="11" t="n">
        <v>3</v>
      </c>
      <c r="AJ15" s="11" t="n">
        <v>3</v>
      </c>
      <c r="AK15" s="11" t="n">
        <v>3</v>
      </c>
      <c r="AL15" s="11" t="n">
        <v>3</v>
      </c>
      <c r="AM15" s="11" t="n">
        <v>3</v>
      </c>
      <c r="AN15" s="11" t="n">
        <v>3</v>
      </c>
      <c r="AO15" s="11" t="n">
        <v>3</v>
      </c>
      <c r="AP15" s="11" t="n">
        <v>3</v>
      </c>
      <c r="AQ15" s="11" t="n">
        <v>3</v>
      </c>
      <c r="AR15" s="11" t="n">
        <v>3</v>
      </c>
      <c r="AS15" s="11" t="n">
        <v>3</v>
      </c>
    </row>
    <row r="16">
      <c r="A16" s="8" t="inlineStr">
        <is>
          <t>Over by</t>
        </is>
      </c>
      <c r="F16" s="13">
        <f>IF(F14&gt;F15,F14-F15,"")</f>
        <v/>
      </c>
      <c r="G16" s="13">
        <f>IF(G14&gt;G15,G14-G15,"")</f>
        <v/>
      </c>
      <c r="H16" s="13">
        <f>IF(H14&gt;H15,H14-H15,"")</f>
        <v/>
      </c>
      <c r="I16" s="13">
        <f>IF(I14&gt;I15,I14-I15,"")</f>
        <v/>
      </c>
      <c r="J16" s="13">
        <f>IF(J14&gt;J15,J14-J15,"")</f>
        <v/>
      </c>
      <c r="K16" s="13">
        <f>IF(K14&gt;K15,K14-K15,"")</f>
        <v/>
      </c>
      <c r="L16" s="13">
        <f>IF(L14&gt;L15,L14-L15,"")</f>
        <v/>
      </c>
      <c r="M16" s="13">
        <f>IF(M14&gt;M15,M14-M15,"")</f>
        <v/>
      </c>
      <c r="N16" s="13">
        <f>IF(N14&gt;N15,N14-N15,"")</f>
        <v/>
      </c>
      <c r="O16" s="13">
        <f>IF(O14&gt;O15,O14-O15,"")</f>
        <v/>
      </c>
      <c r="P16" s="13">
        <f>IF(P14&gt;P15,P14-P15,"")</f>
        <v/>
      </c>
      <c r="Q16" s="13">
        <f>IF(Q14&gt;Q15,Q14-Q15,"")</f>
        <v/>
      </c>
      <c r="R16" s="13">
        <f>IF(R14&gt;R15,R14-R15,"")</f>
        <v/>
      </c>
      <c r="S16" s="13">
        <f>IF(S14&gt;S15,S14-S15,"")</f>
        <v/>
      </c>
      <c r="T16" s="13">
        <f>IF(T14&gt;T15,T14-T15,"")</f>
        <v/>
      </c>
      <c r="U16" s="13">
        <f>IF(U14&gt;U15,U14-U15,"")</f>
        <v/>
      </c>
      <c r="V16" s="13">
        <f>IF(V14&gt;V15,V14-V15,"")</f>
        <v/>
      </c>
      <c r="W16" s="13">
        <f>IF(W14&gt;W15,W14-W15,"")</f>
        <v/>
      </c>
      <c r="X16" s="13">
        <f>IF(X14&gt;X15,X14-X15,"")</f>
        <v/>
      </c>
      <c r="Y16" s="13">
        <f>IF(Y14&gt;Y15,Y14-Y15,"")</f>
        <v/>
      </c>
      <c r="Z16" s="13">
        <f>IF(Z14&gt;Z15,Z14-Z15,"")</f>
        <v/>
      </c>
      <c r="AA16" s="13">
        <f>IF(AA14&gt;AA15,AA14-AA15,"")</f>
        <v/>
      </c>
      <c r="AB16" s="13">
        <f>IF(AB14&gt;AB15,AB14-AB15,"")</f>
        <v/>
      </c>
      <c r="AC16" s="13">
        <f>IF(AC14&gt;AC15,AC14-AC15,"")</f>
        <v/>
      </c>
      <c r="AD16" s="13">
        <f>IF(AD14&gt;AD15,AD14-AD15,"")</f>
        <v/>
      </c>
      <c r="AE16" s="13">
        <f>IF(AE14&gt;AE15,AE14-AE15,"")</f>
        <v/>
      </c>
      <c r="AF16" s="13">
        <f>IF(AF14&gt;AF15,AF14-AF15,"")</f>
        <v/>
      </c>
      <c r="AG16" s="13">
        <f>IF(AG14&gt;AG15,AG14-AG15,"")</f>
        <v/>
      </c>
      <c r="AH16" s="13">
        <f>IF(AH14&gt;AH15,AH14-AH15,"")</f>
        <v/>
      </c>
      <c r="AI16" s="13">
        <f>IF(AI14&gt;AI15,AI14-AI15,"")</f>
        <v/>
      </c>
      <c r="AJ16" s="13">
        <f>IF(AJ14&gt;AJ15,AJ14-AJ15,"")</f>
        <v/>
      </c>
      <c r="AK16" s="13">
        <f>IF(AK14&gt;AK15,AK14-AK15,"")</f>
        <v/>
      </c>
      <c r="AL16" s="13">
        <f>IF(AL14&gt;AL15,AL14-AL15,"")</f>
        <v/>
      </c>
      <c r="AM16" s="13">
        <f>IF(AM14&gt;AM15,AM14-AM15,"")</f>
        <v/>
      </c>
      <c r="AN16" s="13">
        <f>IF(AN14&gt;AN15,AN14-AN15,"")</f>
        <v/>
      </c>
      <c r="AO16" s="13">
        <f>IF(AO14&gt;AO15,AO14-AO15,"")</f>
        <v/>
      </c>
      <c r="AP16" s="13">
        <f>IF(AP14&gt;AP15,AP14-AP15,"")</f>
        <v/>
      </c>
      <c r="AQ16" s="13">
        <f>IF(AQ14&gt;AQ15,AQ14-AQ15,"")</f>
        <v/>
      </c>
      <c r="AR16" s="13">
        <f>IF(AR14&gt;AR15,AR14-AR15,"")</f>
        <v/>
      </c>
      <c r="AS16" s="13">
        <f>IF(AS14&gt;AS15,AS14-AS15,"")</f>
        <v/>
      </c>
    </row>
    <row r="18">
      <c r="A18" s="8" t="inlineStr">
        <is>
          <t>Project finish (max Finish)</t>
        </is>
      </c>
      <c r="E18" s="14">
        <f>MAX(E5:E13)</f>
        <v/>
      </c>
    </row>
    <row r="19">
      <c r="A19" s="8" t="inlineStr">
        <is>
          <t>Peak load</t>
        </is>
      </c>
      <c r="E19" s="14">
        <f>MAX(F14:AS14)</f>
        <v/>
      </c>
    </row>
    <row r="20">
      <c r="A20" s="8" t="inlineStr">
        <is>
          <t>Days over the limit</t>
        </is>
      </c>
      <c r="E20" s="14">
        <f>COUNTIF(F16:AS16,"&gt;0")</f>
        <v/>
      </c>
    </row>
    <row r="22">
      <c r="A22" s="2" t="inlineStr">
        <is>
          <t>Enter each activity's start day (0 = project start). The grid shows the coordinators it uses on each day, the Load row sums them, and Over by flags any day above the limit.</t>
        </is>
      </c>
    </row>
  </sheetData>
  <mergeCells count="3">
    <mergeCell ref="A18:D18"/>
    <mergeCell ref="A20:D20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7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</cols>
  <sheetData>
    <row r="1">
      <c r="A1" s="1" t="inlineStr">
        <is>
          <t>Levelled to three coordinators</t>
        </is>
      </c>
    </row>
    <row r="2">
      <c r="A2" s="2" t="inlineStr">
        <is>
          <t>Apply the parallel method period by period. Priority: minimum slack, then shortest duration, then lowest ID. Record every decision in the Log sheet.</t>
        </is>
      </c>
    </row>
    <row r="4" ht="30" customHeight="1">
      <c r="A4" s="3" t="inlineStr">
        <is>
          <t>ID</t>
        </is>
      </c>
      <c r="B4" s="3" t="inlineStr">
        <is>
          <t>Coord.</t>
        </is>
      </c>
      <c r="C4" s="3" t="inlineStr">
        <is>
          <t>Dur.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1</t>
        </is>
      </c>
      <c r="G4" s="3" t="inlineStr">
        <is>
          <t>2</t>
        </is>
      </c>
      <c r="H4" s="3" t="inlineStr">
        <is>
          <t>3</t>
        </is>
      </c>
      <c r="I4" s="3" t="inlineStr">
        <is>
          <t>4</t>
        </is>
      </c>
      <c r="J4" s="3" t="inlineStr">
        <is>
          <t>5</t>
        </is>
      </c>
      <c r="K4" s="3" t="inlineStr">
        <is>
          <t>6</t>
        </is>
      </c>
      <c r="L4" s="3" t="inlineStr">
        <is>
          <t>7</t>
        </is>
      </c>
      <c r="M4" s="3" t="inlineStr">
        <is>
          <t>8</t>
        </is>
      </c>
      <c r="N4" s="3" t="inlineStr">
        <is>
          <t>9</t>
        </is>
      </c>
      <c r="O4" s="3" t="inlineStr">
        <is>
          <t>10</t>
        </is>
      </c>
      <c r="P4" s="3" t="inlineStr">
        <is>
          <t>11</t>
        </is>
      </c>
      <c r="Q4" s="3" t="inlineStr">
        <is>
          <t>12</t>
        </is>
      </c>
      <c r="R4" s="3" t="inlineStr">
        <is>
          <t>13</t>
        </is>
      </c>
      <c r="S4" s="3" t="inlineStr">
        <is>
          <t>14</t>
        </is>
      </c>
      <c r="T4" s="3" t="inlineStr">
        <is>
          <t>15</t>
        </is>
      </c>
      <c r="U4" s="3" t="inlineStr">
        <is>
          <t>16</t>
        </is>
      </c>
      <c r="V4" s="3" t="inlineStr">
        <is>
          <t>17</t>
        </is>
      </c>
      <c r="W4" s="3" t="inlineStr">
        <is>
          <t>18</t>
        </is>
      </c>
      <c r="X4" s="3" t="inlineStr">
        <is>
          <t>19</t>
        </is>
      </c>
      <c r="Y4" s="3" t="inlineStr">
        <is>
          <t>20</t>
        </is>
      </c>
      <c r="Z4" s="3" t="inlineStr">
        <is>
          <t>21</t>
        </is>
      </c>
      <c r="AA4" s="3" t="inlineStr">
        <is>
          <t>22</t>
        </is>
      </c>
      <c r="AB4" s="3" t="inlineStr">
        <is>
          <t>23</t>
        </is>
      </c>
      <c r="AC4" s="3" t="inlineStr">
        <is>
          <t>24</t>
        </is>
      </c>
      <c r="AD4" s="3" t="inlineStr">
        <is>
          <t>25</t>
        </is>
      </c>
      <c r="AE4" s="3" t="inlineStr">
        <is>
          <t>26</t>
        </is>
      </c>
      <c r="AF4" s="3" t="inlineStr">
        <is>
          <t>27</t>
        </is>
      </c>
      <c r="AG4" s="3" t="inlineStr">
        <is>
          <t>28</t>
        </is>
      </c>
      <c r="AH4" s="3" t="inlineStr">
        <is>
          <t>29</t>
        </is>
      </c>
      <c r="AI4" s="3" t="inlineStr">
        <is>
          <t>30</t>
        </is>
      </c>
      <c r="AJ4" s="3" t="inlineStr">
        <is>
          <t>31</t>
        </is>
      </c>
      <c r="AK4" s="3" t="inlineStr">
        <is>
          <t>32</t>
        </is>
      </c>
      <c r="AL4" s="3" t="inlineStr">
        <is>
          <t>33</t>
        </is>
      </c>
      <c r="AM4" s="3" t="inlineStr">
        <is>
          <t>34</t>
        </is>
      </c>
      <c r="AN4" s="3" t="inlineStr">
        <is>
          <t>35</t>
        </is>
      </c>
      <c r="AO4" s="3" t="inlineStr">
        <is>
          <t>36</t>
        </is>
      </c>
      <c r="AP4" s="3" t="inlineStr">
        <is>
          <t>37</t>
        </is>
      </c>
      <c r="AQ4" s="3" t="inlineStr">
        <is>
          <t>38</t>
        </is>
      </c>
      <c r="AR4" s="3" t="inlineStr">
        <is>
          <t>39</t>
        </is>
      </c>
      <c r="AS4" s="3" t="inlineStr">
        <is>
          <t>40</t>
        </is>
      </c>
    </row>
    <row r="5">
      <c r="A5" s="10" t="inlineStr">
        <is>
          <t>A</t>
        </is>
      </c>
      <c r="B5" s="4" t="n">
        <v>1</v>
      </c>
      <c r="C5" s="4" t="n">
        <v>2</v>
      </c>
      <c r="D5" s="7" t="n"/>
      <c r="E5" s="4">
        <f>IF(D5="","",D5+C5)</f>
        <v/>
      </c>
      <c r="F5" s="11">
        <f>IF(D5="","",IF(AND(F$4&gt;D5,F$4&lt;=E5),B5,""))</f>
        <v/>
      </c>
      <c r="G5" s="11">
        <f>IF(D5="","",IF(AND(G$4&gt;D5,G$4&lt;=E5),B5,""))</f>
        <v/>
      </c>
      <c r="H5" s="11">
        <f>IF(D5="","",IF(AND(H$4&gt;D5,H$4&lt;=E5),B5,""))</f>
        <v/>
      </c>
      <c r="I5" s="11">
        <f>IF(D5="","",IF(AND(I$4&gt;D5,I$4&lt;=E5),B5,""))</f>
        <v/>
      </c>
      <c r="J5" s="11">
        <f>IF(D5="","",IF(AND(J$4&gt;D5,J$4&lt;=E5),B5,""))</f>
        <v/>
      </c>
      <c r="K5" s="11">
        <f>IF(D5="","",IF(AND(K$4&gt;D5,K$4&lt;=E5),B5,""))</f>
        <v/>
      </c>
      <c r="L5" s="11">
        <f>IF(D5="","",IF(AND(L$4&gt;D5,L$4&lt;=E5),B5,""))</f>
        <v/>
      </c>
      <c r="M5" s="11">
        <f>IF(D5="","",IF(AND(M$4&gt;D5,M$4&lt;=E5),B5,""))</f>
        <v/>
      </c>
      <c r="N5" s="11">
        <f>IF(D5="","",IF(AND(N$4&gt;D5,N$4&lt;=E5),B5,""))</f>
        <v/>
      </c>
      <c r="O5" s="11">
        <f>IF(D5="","",IF(AND(O$4&gt;D5,O$4&lt;=E5),B5,""))</f>
        <v/>
      </c>
      <c r="P5" s="11">
        <f>IF(D5="","",IF(AND(P$4&gt;D5,P$4&lt;=E5),B5,""))</f>
        <v/>
      </c>
      <c r="Q5" s="11">
        <f>IF(D5="","",IF(AND(Q$4&gt;D5,Q$4&lt;=E5),B5,""))</f>
        <v/>
      </c>
      <c r="R5" s="11">
        <f>IF(D5="","",IF(AND(R$4&gt;D5,R$4&lt;=E5),B5,""))</f>
        <v/>
      </c>
      <c r="S5" s="11">
        <f>IF(D5="","",IF(AND(S$4&gt;D5,S$4&lt;=E5),B5,""))</f>
        <v/>
      </c>
      <c r="T5" s="11">
        <f>IF(D5="","",IF(AND(T$4&gt;D5,T$4&lt;=E5),B5,""))</f>
        <v/>
      </c>
      <c r="U5" s="11">
        <f>IF(D5="","",IF(AND(U$4&gt;D5,U$4&lt;=E5),B5,""))</f>
        <v/>
      </c>
      <c r="V5" s="11">
        <f>IF(D5="","",IF(AND(V$4&gt;D5,V$4&lt;=E5),B5,""))</f>
        <v/>
      </c>
      <c r="W5" s="11">
        <f>IF(D5="","",IF(AND(W$4&gt;D5,W$4&lt;=E5),B5,""))</f>
        <v/>
      </c>
      <c r="X5" s="11">
        <f>IF(D5="","",IF(AND(X$4&gt;D5,X$4&lt;=E5),B5,""))</f>
        <v/>
      </c>
      <c r="Y5" s="11">
        <f>IF(D5="","",IF(AND(Y$4&gt;D5,Y$4&lt;=E5),B5,""))</f>
        <v/>
      </c>
      <c r="Z5" s="11">
        <f>IF(D5="","",IF(AND(Z$4&gt;D5,Z$4&lt;=E5),B5,""))</f>
        <v/>
      </c>
      <c r="AA5" s="11">
        <f>IF(D5="","",IF(AND(AA$4&gt;D5,AA$4&lt;=E5),B5,""))</f>
        <v/>
      </c>
      <c r="AB5" s="11">
        <f>IF(D5="","",IF(AND(AB$4&gt;D5,AB$4&lt;=E5),B5,""))</f>
        <v/>
      </c>
      <c r="AC5" s="11">
        <f>IF(D5="","",IF(AND(AC$4&gt;D5,AC$4&lt;=E5),B5,""))</f>
        <v/>
      </c>
      <c r="AD5" s="11">
        <f>IF(D5="","",IF(AND(AD$4&gt;D5,AD$4&lt;=E5),B5,""))</f>
        <v/>
      </c>
      <c r="AE5" s="11">
        <f>IF(D5="","",IF(AND(AE$4&gt;D5,AE$4&lt;=E5),B5,""))</f>
        <v/>
      </c>
      <c r="AF5" s="11">
        <f>IF(D5="","",IF(AND(AF$4&gt;D5,AF$4&lt;=E5),B5,""))</f>
        <v/>
      </c>
      <c r="AG5" s="11">
        <f>IF(D5="","",IF(AND(AG$4&gt;D5,AG$4&lt;=E5),B5,""))</f>
        <v/>
      </c>
      <c r="AH5" s="11">
        <f>IF(D5="","",IF(AND(AH$4&gt;D5,AH$4&lt;=E5),B5,""))</f>
        <v/>
      </c>
      <c r="AI5" s="11">
        <f>IF(D5="","",IF(AND(AI$4&gt;D5,AI$4&lt;=E5),B5,""))</f>
        <v/>
      </c>
      <c r="AJ5" s="11">
        <f>IF(D5="","",IF(AND(AJ$4&gt;D5,AJ$4&lt;=E5),B5,""))</f>
        <v/>
      </c>
      <c r="AK5" s="11">
        <f>IF(D5="","",IF(AND(AK$4&gt;D5,AK$4&lt;=E5),B5,""))</f>
        <v/>
      </c>
      <c r="AL5" s="11">
        <f>IF(D5="","",IF(AND(AL$4&gt;D5,AL$4&lt;=E5),B5,""))</f>
        <v/>
      </c>
      <c r="AM5" s="11">
        <f>IF(D5="","",IF(AND(AM$4&gt;D5,AM$4&lt;=E5),B5,""))</f>
        <v/>
      </c>
      <c r="AN5" s="11">
        <f>IF(D5="","",IF(AND(AN$4&gt;D5,AN$4&lt;=E5),B5,""))</f>
        <v/>
      </c>
      <c r="AO5" s="11">
        <f>IF(D5="","",IF(AND(AO$4&gt;D5,AO$4&lt;=E5),B5,""))</f>
        <v/>
      </c>
      <c r="AP5" s="11">
        <f>IF(D5="","",IF(AND(AP$4&gt;D5,AP$4&lt;=E5),B5,""))</f>
        <v/>
      </c>
      <c r="AQ5" s="11">
        <f>IF(D5="","",IF(AND(AQ$4&gt;D5,AQ$4&lt;=E5),B5,""))</f>
        <v/>
      </c>
      <c r="AR5" s="11">
        <f>IF(D5="","",IF(AND(AR$4&gt;D5,AR$4&lt;=E5),B5,""))</f>
        <v/>
      </c>
      <c r="AS5" s="11">
        <f>IF(D5="","",IF(AND(AS$4&gt;D5,AS$4&lt;=E5),B5,""))</f>
        <v/>
      </c>
    </row>
    <row r="6">
      <c r="A6" s="10" t="inlineStr">
        <is>
          <t>B</t>
        </is>
      </c>
      <c r="B6" s="4" t="n">
        <v>2</v>
      </c>
      <c r="C6" s="4" t="n">
        <v>5</v>
      </c>
      <c r="D6" s="7" t="n"/>
      <c r="E6" s="4">
        <f>IF(D6="","",D6+C6)</f>
        <v/>
      </c>
      <c r="F6" s="11">
        <f>IF(D6="","",IF(AND(F$4&gt;D6,F$4&lt;=E6),B6,""))</f>
        <v/>
      </c>
      <c r="G6" s="11">
        <f>IF(D6="","",IF(AND(G$4&gt;D6,G$4&lt;=E6),B6,""))</f>
        <v/>
      </c>
      <c r="H6" s="11">
        <f>IF(D6="","",IF(AND(H$4&gt;D6,H$4&lt;=E6),B6,""))</f>
        <v/>
      </c>
      <c r="I6" s="11">
        <f>IF(D6="","",IF(AND(I$4&gt;D6,I$4&lt;=E6),B6,""))</f>
        <v/>
      </c>
      <c r="J6" s="11">
        <f>IF(D6="","",IF(AND(J$4&gt;D6,J$4&lt;=E6),B6,""))</f>
        <v/>
      </c>
      <c r="K6" s="11">
        <f>IF(D6="","",IF(AND(K$4&gt;D6,K$4&lt;=E6),B6,""))</f>
        <v/>
      </c>
      <c r="L6" s="11">
        <f>IF(D6="","",IF(AND(L$4&gt;D6,L$4&lt;=E6),B6,""))</f>
        <v/>
      </c>
      <c r="M6" s="11">
        <f>IF(D6="","",IF(AND(M$4&gt;D6,M$4&lt;=E6),B6,""))</f>
        <v/>
      </c>
      <c r="N6" s="11">
        <f>IF(D6="","",IF(AND(N$4&gt;D6,N$4&lt;=E6),B6,""))</f>
        <v/>
      </c>
      <c r="O6" s="11">
        <f>IF(D6="","",IF(AND(O$4&gt;D6,O$4&lt;=E6),B6,""))</f>
        <v/>
      </c>
      <c r="P6" s="11">
        <f>IF(D6="","",IF(AND(P$4&gt;D6,P$4&lt;=E6),B6,""))</f>
        <v/>
      </c>
      <c r="Q6" s="11">
        <f>IF(D6="","",IF(AND(Q$4&gt;D6,Q$4&lt;=E6),B6,""))</f>
        <v/>
      </c>
      <c r="R6" s="11">
        <f>IF(D6="","",IF(AND(R$4&gt;D6,R$4&lt;=E6),B6,""))</f>
        <v/>
      </c>
      <c r="S6" s="11">
        <f>IF(D6="","",IF(AND(S$4&gt;D6,S$4&lt;=E6),B6,""))</f>
        <v/>
      </c>
      <c r="T6" s="11">
        <f>IF(D6="","",IF(AND(T$4&gt;D6,T$4&lt;=E6),B6,""))</f>
        <v/>
      </c>
      <c r="U6" s="11">
        <f>IF(D6="","",IF(AND(U$4&gt;D6,U$4&lt;=E6),B6,""))</f>
        <v/>
      </c>
      <c r="V6" s="11">
        <f>IF(D6="","",IF(AND(V$4&gt;D6,V$4&lt;=E6),B6,""))</f>
        <v/>
      </c>
      <c r="W6" s="11">
        <f>IF(D6="","",IF(AND(W$4&gt;D6,W$4&lt;=E6),B6,""))</f>
        <v/>
      </c>
      <c r="X6" s="11">
        <f>IF(D6="","",IF(AND(X$4&gt;D6,X$4&lt;=E6),B6,""))</f>
        <v/>
      </c>
      <c r="Y6" s="11">
        <f>IF(D6="","",IF(AND(Y$4&gt;D6,Y$4&lt;=E6),B6,""))</f>
        <v/>
      </c>
      <c r="Z6" s="11">
        <f>IF(D6="","",IF(AND(Z$4&gt;D6,Z$4&lt;=E6),B6,""))</f>
        <v/>
      </c>
      <c r="AA6" s="11">
        <f>IF(D6="","",IF(AND(AA$4&gt;D6,AA$4&lt;=E6),B6,""))</f>
        <v/>
      </c>
      <c r="AB6" s="11">
        <f>IF(D6="","",IF(AND(AB$4&gt;D6,AB$4&lt;=E6),B6,""))</f>
        <v/>
      </c>
      <c r="AC6" s="11">
        <f>IF(D6="","",IF(AND(AC$4&gt;D6,AC$4&lt;=E6),B6,""))</f>
        <v/>
      </c>
      <c r="AD6" s="11">
        <f>IF(D6="","",IF(AND(AD$4&gt;D6,AD$4&lt;=E6),B6,""))</f>
        <v/>
      </c>
      <c r="AE6" s="11">
        <f>IF(D6="","",IF(AND(AE$4&gt;D6,AE$4&lt;=E6),B6,""))</f>
        <v/>
      </c>
      <c r="AF6" s="11">
        <f>IF(D6="","",IF(AND(AF$4&gt;D6,AF$4&lt;=E6),B6,""))</f>
        <v/>
      </c>
      <c r="AG6" s="11">
        <f>IF(D6="","",IF(AND(AG$4&gt;D6,AG$4&lt;=E6),B6,""))</f>
        <v/>
      </c>
      <c r="AH6" s="11">
        <f>IF(D6="","",IF(AND(AH$4&gt;D6,AH$4&lt;=E6),B6,""))</f>
        <v/>
      </c>
      <c r="AI6" s="11">
        <f>IF(D6="","",IF(AND(AI$4&gt;D6,AI$4&lt;=E6),B6,""))</f>
        <v/>
      </c>
      <c r="AJ6" s="11">
        <f>IF(D6="","",IF(AND(AJ$4&gt;D6,AJ$4&lt;=E6),B6,""))</f>
        <v/>
      </c>
      <c r="AK6" s="11">
        <f>IF(D6="","",IF(AND(AK$4&gt;D6,AK$4&lt;=E6),B6,""))</f>
        <v/>
      </c>
      <c r="AL6" s="11">
        <f>IF(D6="","",IF(AND(AL$4&gt;D6,AL$4&lt;=E6),B6,""))</f>
        <v/>
      </c>
      <c r="AM6" s="11">
        <f>IF(D6="","",IF(AND(AM$4&gt;D6,AM$4&lt;=E6),B6,""))</f>
        <v/>
      </c>
      <c r="AN6" s="11">
        <f>IF(D6="","",IF(AND(AN$4&gt;D6,AN$4&lt;=E6),B6,""))</f>
        <v/>
      </c>
      <c r="AO6" s="11">
        <f>IF(D6="","",IF(AND(AO$4&gt;D6,AO$4&lt;=E6),B6,""))</f>
        <v/>
      </c>
      <c r="AP6" s="11">
        <f>IF(D6="","",IF(AND(AP$4&gt;D6,AP$4&lt;=E6),B6,""))</f>
        <v/>
      </c>
      <c r="AQ6" s="11">
        <f>IF(D6="","",IF(AND(AQ$4&gt;D6,AQ$4&lt;=E6),B6,""))</f>
        <v/>
      </c>
      <c r="AR6" s="11">
        <f>IF(D6="","",IF(AND(AR$4&gt;D6,AR$4&lt;=E6),B6,""))</f>
        <v/>
      </c>
      <c r="AS6" s="11">
        <f>IF(D6="","",IF(AND(AS$4&gt;D6,AS$4&lt;=E6),B6,""))</f>
        <v/>
      </c>
    </row>
    <row r="7">
      <c r="A7" s="10" t="inlineStr">
        <is>
          <t>C</t>
        </is>
      </c>
      <c r="B7" s="4" t="n">
        <v>1</v>
      </c>
      <c r="C7" s="4" t="n">
        <v>6</v>
      </c>
      <c r="D7" s="7" t="n"/>
      <c r="E7" s="4">
        <f>IF(D7="","",D7+C7)</f>
        <v/>
      </c>
      <c r="F7" s="11">
        <f>IF(D7="","",IF(AND(F$4&gt;D7,F$4&lt;=E7),B7,""))</f>
        <v/>
      </c>
      <c r="G7" s="11">
        <f>IF(D7="","",IF(AND(G$4&gt;D7,G$4&lt;=E7),B7,""))</f>
        <v/>
      </c>
      <c r="H7" s="11">
        <f>IF(D7="","",IF(AND(H$4&gt;D7,H$4&lt;=E7),B7,""))</f>
        <v/>
      </c>
      <c r="I7" s="11">
        <f>IF(D7="","",IF(AND(I$4&gt;D7,I$4&lt;=E7),B7,""))</f>
        <v/>
      </c>
      <c r="J7" s="11">
        <f>IF(D7="","",IF(AND(J$4&gt;D7,J$4&lt;=E7),B7,""))</f>
        <v/>
      </c>
      <c r="K7" s="11">
        <f>IF(D7="","",IF(AND(K$4&gt;D7,K$4&lt;=E7),B7,""))</f>
        <v/>
      </c>
      <c r="L7" s="11">
        <f>IF(D7="","",IF(AND(L$4&gt;D7,L$4&lt;=E7),B7,""))</f>
        <v/>
      </c>
      <c r="M7" s="11">
        <f>IF(D7="","",IF(AND(M$4&gt;D7,M$4&lt;=E7),B7,""))</f>
        <v/>
      </c>
      <c r="N7" s="11">
        <f>IF(D7="","",IF(AND(N$4&gt;D7,N$4&lt;=E7),B7,""))</f>
        <v/>
      </c>
      <c r="O7" s="11">
        <f>IF(D7="","",IF(AND(O$4&gt;D7,O$4&lt;=E7),B7,""))</f>
        <v/>
      </c>
      <c r="P7" s="11">
        <f>IF(D7="","",IF(AND(P$4&gt;D7,P$4&lt;=E7),B7,""))</f>
        <v/>
      </c>
      <c r="Q7" s="11">
        <f>IF(D7="","",IF(AND(Q$4&gt;D7,Q$4&lt;=E7),B7,""))</f>
        <v/>
      </c>
      <c r="R7" s="11">
        <f>IF(D7="","",IF(AND(R$4&gt;D7,R$4&lt;=E7),B7,""))</f>
        <v/>
      </c>
      <c r="S7" s="11">
        <f>IF(D7="","",IF(AND(S$4&gt;D7,S$4&lt;=E7),B7,""))</f>
        <v/>
      </c>
      <c r="T7" s="11">
        <f>IF(D7="","",IF(AND(T$4&gt;D7,T$4&lt;=E7),B7,""))</f>
        <v/>
      </c>
      <c r="U7" s="11">
        <f>IF(D7="","",IF(AND(U$4&gt;D7,U$4&lt;=E7),B7,""))</f>
        <v/>
      </c>
      <c r="V7" s="11">
        <f>IF(D7="","",IF(AND(V$4&gt;D7,V$4&lt;=E7),B7,""))</f>
        <v/>
      </c>
      <c r="W7" s="11">
        <f>IF(D7="","",IF(AND(W$4&gt;D7,W$4&lt;=E7),B7,""))</f>
        <v/>
      </c>
      <c r="X7" s="11">
        <f>IF(D7="","",IF(AND(X$4&gt;D7,X$4&lt;=E7),B7,""))</f>
        <v/>
      </c>
      <c r="Y7" s="11">
        <f>IF(D7="","",IF(AND(Y$4&gt;D7,Y$4&lt;=E7),B7,""))</f>
        <v/>
      </c>
      <c r="Z7" s="11">
        <f>IF(D7="","",IF(AND(Z$4&gt;D7,Z$4&lt;=E7),B7,""))</f>
        <v/>
      </c>
      <c r="AA7" s="11">
        <f>IF(D7="","",IF(AND(AA$4&gt;D7,AA$4&lt;=E7),B7,""))</f>
        <v/>
      </c>
      <c r="AB7" s="11">
        <f>IF(D7="","",IF(AND(AB$4&gt;D7,AB$4&lt;=E7),B7,""))</f>
        <v/>
      </c>
      <c r="AC7" s="11">
        <f>IF(D7="","",IF(AND(AC$4&gt;D7,AC$4&lt;=E7),B7,""))</f>
        <v/>
      </c>
      <c r="AD7" s="11">
        <f>IF(D7="","",IF(AND(AD$4&gt;D7,AD$4&lt;=E7),B7,""))</f>
        <v/>
      </c>
      <c r="AE7" s="11">
        <f>IF(D7="","",IF(AND(AE$4&gt;D7,AE$4&lt;=E7),B7,""))</f>
        <v/>
      </c>
      <c r="AF7" s="11">
        <f>IF(D7="","",IF(AND(AF$4&gt;D7,AF$4&lt;=E7),B7,""))</f>
        <v/>
      </c>
      <c r="AG7" s="11">
        <f>IF(D7="","",IF(AND(AG$4&gt;D7,AG$4&lt;=E7),B7,""))</f>
        <v/>
      </c>
      <c r="AH7" s="11">
        <f>IF(D7="","",IF(AND(AH$4&gt;D7,AH$4&lt;=E7),B7,""))</f>
        <v/>
      </c>
      <c r="AI7" s="11">
        <f>IF(D7="","",IF(AND(AI$4&gt;D7,AI$4&lt;=E7),B7,""))</f>
        <v/>
      </c>
      <c r="AJ7" s="11">
        <f>IF(D7="","",IF(AND(AJ$4&gt;D7,AJ$4&lt;=E7),B7,""))</f>
        <v/>
      </c>
      <c r="AK7" s="11">
        <f>IF(D7="","",IF(AND(AK$4&gt;D7,AK$4&lt;=E7),B7,""))</f>
        <v/>
      </c>
      <c r="AL7" s="11">
        <f>IF(D7="","",IF(AND(AL$4&gt;D7,AL$4&lt;=E7),B7,""))</f>
        <v/>
      </c>
      <c r="AM7" s="11">
        <f>IF(D7="","",IF(AND(AM$4&gt;D7,AM$4&lt;=E7),B7,""))</f>
        <v/>
      </c>
      <c r="AN7" s="11">
        <f>IF(D7="","",IF(AND(AN$4&gt;D7,AN$4&lt;=E7),B7,""))</f>
        <v/>
      </c>
      <c r="AO7" s="11">
        <f>IF(D7="","",IF(AND(AO$4&gt;D7,AO$4&lt;=E7),B7,""))</f>
        <v/>
      </c>
      <c r="AP7" s="11">
        <f>IF(D7="","",IF(AND(AP$4&gt;D7,AP$4&lt;=E7),B7,""))</f>
        <v/>
      </c>
      <c r="AQ7" s="11">
        <f>IF(D7="","",IF(AND(AQ$4&gt;D7,AQ$4&lt;=E7),B7,""))</f>
        <v/>
      </c>
      <c r="AR7" s="11">
        <f>IF(D7="","",IF(AND(AR$4&gt;D7,AR$4&lt;=E7),B7,""))</f>
        <v/>
      </c>
      <c r="AS7" s="11">
        <f>IF(D7="","",IF(AND(AS$4&gt;D7,AS$4&lt;=E7),B7,""))</f>
        <v/>
      </c>
    </row>
    <row r="8">
      <c r="A8" s="10" t="inlineStr">
        <is>
          <t>D</t>
        </is>
      </c>
      <c r="B8" s="4" t="n">
        <v>1</v>
      </c>
      <c r="C8" s="4" t="n">
        <v>4</v>
      </c>
      <c r="D8" s="7" t="n"/>
      <c r="E8" s="4">
        <f>IF(D8="","",D8+C8)</f>
        <v/>
      </c>
      <c r="F8" s="11">
        <f>IF(D8="","",IF(AND(F$4&gt;D8,F$4&lt;=E8),B8,""))</f>
        <v/>
      </c>
      <c r="G8" s="11">
        <f>IF(D8="","",IF(AND(G$4&gt;D8,G$4&lt;=E8),B8,""))</f>
        <v/>
      </c>
      <c r="H8" s="11">
        <f>IF(D8="","",IF(AND(H$4&gt;D8,H$4&lt;=E8),B8,""))</f>
        <v/>
      </c>
      <c r="I8" s="11">
        <f>IF(D8="","",IF(AND(I$4&gt;D8,I$4&lt;=E8),B8,""))</f>
        <v/>
      </c>
      <c r="J8" s="11">
        <f>IF(D8="","",IF(AND(J$4&gt;D8,J$4&lt;=E8),B8,""))</f>
        <v/>
      </c>
      <c r="K8" s="11">
        <f>IF(D8="","",IF(AND(K$4&gt;D8,K$4&lt;=E8),B8,""))</f>
        <v/>
      </c>
      <c r="L8" s="11">
        <f>IF(D8="","",IF(AND(L$4&gt;D8,L$4&lt;=E8),B8,""))</f>
        <v/>
      </c>
      <c r="M8" s="11">
        <f>IF(D8="","",IF(AND(M$4&gt;D8,M$4&lt;=E8),B8,""))</f>
        <v/>
      </c>
      <c r="N8" s="11">
        <f>IF(D8="","",IF(AND(N$4&gt;D8,N$4&lt;=E8),B8,""))</f>
        <v/>
      </c>
      <c r="O8" s="11">
        <f>IF(D8="","",IF(AND(O$4&gt;D8,O$4&lt;=E8),B8,""))</f>
        <v/>
      </c>
      <c r="P8" s="11">
        <f>IF(D8="","",IF(AND(P$4&gt;D8,P$4&lt;=E8),B8,""))</f>
        <v/>
      </c>
      <c r="Q8" s="11">
        <f>IF(D8="","",IF(AND(Q$4&gt;D8,Q$4&lt;=E8),B8,""))</f>
        <v/>
      </c>
      <c r="R8" s="11">
        <f>IF(D8="","",IF(AND(R$4&gt;D8,R$4&lt;=E8),B8,""))</f>
        <v/>
      </c>
      <c r="S8" s="11">
        <f>IF(D8="","",IF(AND(S$4&gt;D8,S$4&lt;=E8),B8,""))</f>
        <v/>
      </c>
      <c r="T8" s="11">
        <f>IF(D8="","",IF(AND(T$4&gt;D8,T$4&lt;=E8),B8,""))</f>
        <v/>
      </c>
      <c r="U8" s="11">
        <f>IF(D8="","",IF(AND(U$4&gt;D8,U$4&lt;=E8),B8,""))</f>
        <v/>
      </c>
      <c r="V8" s="11">
        <f>IF(D8="","",IF(AND(V$4&gt;D8,V$4&lt;=E8),B8,""))</f>
        <v/>
      </c>
      <c r="W8" s="11">
        <f>IF(D8="","",IF(AND(W$4&gt;D8,W$4&lt;=E8),B8,""))</f>
        <v/>
      </c>
      <c r="X8" s="11">
        <f>IF(D8="","",IF(AND(X$4&gt;D8,X$4&lt;=E8),B8,""))</f>
        <v/>
      </c>
      <c r="Y8" s="11">
        <f>IF(D8="","",IF(AND(Y$4&gt;D8,Y$4&lt;=E8),B8,""))</f>
        <v/>
      </c>
      <c r="Z8" s="11">
        <f>IF(D8="","",IF(AND(Z$4&gt;D8,Z$4&lt;=E8),B8,""))</f>
        <v/>
      </c>
      <c r="AA8" s="11">
        <f>IF(D8="","",IF(AND(AA$4&gt;D8,AA$4&lt;=E8),B8,""))</f>
        <v/>
      </c>
      <c r="AB8" s="11">
        <f>IF(D8="","",IF(AND(AB$4&gt;D8,AB$4&lt;=E8),B8,""))</f>
        <v/>
      </c>
      <c r="AC8" s="11">
        <f>IF(D8="","",IF(AND(AC$4&gt;D8,AC$4&lt;=E8),B8,""))</f>
        <v/>
      </c>
      <c r="AD8" s="11">
        <f>IF(D8="","",IF(AND(AD$4&gt;D8,AD$4&lt;=E8),B8,""))</f>
        <v/>
      </c>
      <c r="AE8" s="11">
        <f>IF(D8="","",IF(AND(AE$4&gt;D8,AE$4&lt;=E8),B8,""))</f>
        <v/>
      </c>
      <c r="AF8" s="11">
        <f>IF(D8="","",IF(AND(AF$4&gt;D8,AF$4&lt;=E8),B8,""))</f>
        <v/>
      </c>
      <c r="AG8" s="11">
        <f>IF(D8="","",IF(AND(AG$4&gt;D8,AG$4&lt;=E8),B8,""))</f>
        <v/>
      </c>
      <c r="AH8" s="11">
        <f>IF(D8="","",IF(AND(AH$4&gt;D8,AH$4&lt;=E8),B8,""))</f>
        <v/>
      </c>
      <c r="AI8" s="11">
        <f>IF(D8="","",IF(AND(AI$4&gt;D8,AI$4&lt;=E8),B8,""))</f>
        <v/>
      </c>
      <c r="AJ8" s="11">
        <f>IF(D8="","",IF(AND(AJ$4&gt;D8,AJ$4&lt;=E8),B8,""))</f>
        <v/>
      </c>
      <c r="AK8" s="11">
        <f>IF(D8="","",IF(AND(AK$4&gt;D8,AK$4&lt;=E8),B8,""))</f>
        <v/>
      </c>
      <c r="AL8" s="11">
        <f>IF(D8="","",IF(AND(AL$4&gt;D8,AL$4&lt;=E8),B8,""))</f>
        <v/>
      </c>
      <c r="AM8" s="11">
        <f>IF(D8="","",IF(AND(AM$4&gt;D8,AM$4&lt;=E8),B8,""))</f>
        <v/>
      </c>
      <c r="AN8" s="11">
        <f>IF(D8="","",IF(AND(AN$4&gt;D8,AN$4&lt;=E8),B8,""))</f>
        <v/>
      </c>
      <c r="AO8" s="11">
        <f>IF(D8="","",IF(AND(AO$4&gt;D8,AO$4&lt;=E8),B8,""))</f>
        <v/>
      </c>
      <c r="AP8" s="11">
        <f>IF(D8="","",IF(AND(AP$4&gt;D8,AP$4&lt;=E8),B8,""))</f>
        <v/>
      </c>
      <c r="AQ8" s="11">
        <f>IF(D8="","",IF(AND(AQ$4&gt;D8,AQ$4&lt;=E8),B8,""))</f>
        <v/>
      </c>
      <c r="AR8" s="11">
        <f>IF(D8="","",IF(AND(AR$4&gt;D8,AR$4&lt;=E8),B8,""))</f>
        <v/>
      </c>
      <c r="AS8" s="11">
        <f>IF(D8="","",IF(AND(AS$4&gt;D8,AS$4&lt;=E8),B8,""))</f>
        <v/>
      </c>
    </row>
    <row r="9">
      <c r="A9" s="10" t="inlineStr">
        <is>
          <t>E</t>
        </is>
      </c>
      <c r="B9" s="4" t="n">
        <v>2</v>
      </c>
      <c r="C9" s="4" t="n">
        <v>8</v>
      </c>
      <c r="D9" s="7" t="n"/>
      <c r="E9" s="4">
        <f>IF(D9="","",D9+C9)</f>
        <v/>
      </c>
      <c r="F9" s="11">
        <f>IF(D9="","",IF(AND(F$4&gt;D9,F$4&lt;=E9),B9,""))</f>
        <v/>
      </c>
      <c r="G9" s="11">
        <f>IF(D9="","",IF(AND(G$4&gt;D9,G$4&lt;=E9),B9,""))</f>
        <v/>
      </c>
      <c r="H9" s="11">
        <f>IF(D9="","",IF(AND(H$4&gt;D9,H$4&lt;=E9),B9,""))</f>
        <v/>
      </c>
      <c r="I9" s="11">
        <f>IF(D9="","",IF(AND(I$4&gt;D9,I$4&lt;=E9),B9,""))</f>
        <v/>
      </c>
      <c r="J9" s="11">
        <f>IF(D9="","",IF(AND(J$4&gt;D9,J$4&lt;=E9),B9,""))</f>
        <v/>
      </c>
      <c r="K9" s="11">
        <f>IF(D9="","",IF(AND(K$4&gt;D9,K$4&lt;=E9),B9,""))</f>
        <v/>
      </c>
      <c r="L9" s="11">
        <f>IF(D9="","",IF(AND(L$4&gt;D9,L$4&lt;=E9),B9,""))</f>
        <v/>
      </c>
      <c r="M9" s="11">
        <f>IF(D9="","",IF(AND(M$4&gt;D9,M$4&lt;=E9),B9,""))</f>
        <v/>
      </c>
      <c r="N9" s="11">
        <f>IF(D9="","",IF(AND(N$4&gt;D9,N$4&lt;=E9),B9,""))</f>
        <v/>
      </c>
      <c r="O9" s="11">
        <f>IF(D9="","",IF(AND(O$4&gt;D9,O$4&lt;=E9),B9,""))</f>
        <v/>
      </c>
      <c r="P9" s="11">
        <f>IF(D9="","",IF(AND(P$4&gt;D9,P$4&lt;=E9),B9,""))</f>
        <v/>
      </c>
      <c r="Q9" s="11">
        <f>IF(D9="","",IF(AND(Q$4&gt;D9,Q$4&lt;=E9),B9,""))</f>
        <v/>
      </c>
      <c r="R9" s="11">
        <f>IF(D9="","",IF(AND(R$4&gt;D9,R$4&lt;=E9),B9,""))</f>
        <v/>
      </c>
      <c r="S9" s="11">
        <f>IF(D9="","",IF(AND(S$4&gt;D9,S$4&lt;=E9),B9,""))</f>
        <v/>
      </c>
      <c r="T9" s="11">
        <f>IF(D9="","",IF(AND(T$4&gt;D9,T$4&lt;=E9),B9,""))</f>
        <v/>
      </c>
      <c r="U9" s="11">
        <f>IF(D9="","",IF(AND(U$4&gt;D9,U$4&lt;=E9),B9,""))</f>
        <v/>
      </c>
      <c r="V9" s="11">
        <f>IF(D9="","",IF(AND(V$4&gt;D9,V$4&lt;=E9),B9,""))</f>
        <v/>
      </c>
      <c r="W9" s="11">
        <f>IF(D9="","",IF(AND(W$4&gt;D9,W$4&lt;=E9),B9,""))</f>
        <v/>
      </c>
      <c r="X9" s="11">
        <f>IF(D9="","",IF(AND(X$4&gt;D9,X$4&lt;=E9),B9,""))</f>
        <v/>
      </c>
      <c r="Y9" s="11">
        <f>IF(D9="","",IF(AND(Y$4&gt;D9,Y$4&lt;=E9),B9,""))</f>
        <v/>
      </c>
      <c r="Z9" s="11">
        <f>IF(D9="","",IF(AND(Z$4&gt;D9,Z$4&lt;=E9),B9,""))</f>
        <v/>
      </c>
      <c r="AA9" s="11">
        <f>IF(D9="","",IF(AND(AA$4&gt;D9,AA$4&lt;=E9),B9,""))</f>
        <v/>
      </c>
      <c r="AB9" s="11">
        <f>IF(D9="","",IF(AND(AB$4&gt;D9,AB$4&lt;=E9),B9,""))</f>
        <v/>
      </c>
      <c r="AC9" s="11">
        <f>IF(D9="","",IF(AND(AC$4&gt;D9,AC$4&lt;=E9),B9,""))</f>
        <v/>
      </c>
      <c r="AD9" s="11">
        <f>IF(D9="","",IF(AND(AD$4&gt;D9,AD$4&lt;=E9),B9,""))</f>
        <v/>
      </c>
      <c r="AE9" s="11">
        <f>IF(D9="","",IF(AND(AE$4&gt;D9,AE$4&lt;=E9),B9,""))</f>
        <v/>
      </c>
      <c r="AF9" s="11">
        <f>IF(D9="","",IF(AND(AF$4&gt;D9,AF$4&lt;=E9),B9,""))</f>
        <v/>
      </c>
      <c r="AG9" s="11">
        <f>IF(D9="","",IF(AND(AG$4&gt;D9,AG$4&lt;=E9),B9,""))</f>
        <v/>
      </c>
      <c r="AH9" s="11">
        <f>IF(D9="","",IF(AND(AH$4&gt;D9,AH$4&lt;=E9),B9,""))</f>
        <v/>
      </c>
      <c r="AI9" s="11">
        <f>IF(D9="","",IF(AND(AI$4&gt;D9,AI$4&lt;=E9),B9,""))</f>
        <v/>
      </c>
      <c r="AJ9" s="11">
        <f>IF(D9="","",IF(AND(AJ$4&gt;D9,AJ$4&lt;=E9),B9,""))</f>
        <v/>
      </c>
      <c r="AK9" s="11">
        <f>IF(D9="","",IF(AND(AK$4&gt;D9,AK$4&lt;=E9),B9,""))</f>
        <v/>
      </c>
      <c r="AL9" s="11">
        <f>IF(D9="","",IF(AND(AL$4&gt;D9,AL$4&lt;=E9),B9,""))</f>
        <v/>
      </c>
      <c r="AM9" s="11">
        <f>IF(D9="","",IF(AND(AM$4&gt;D9,AM$4&lt;=E9),B9,""))</f>
        <v/>
      </c>
      <c r="AN9" s="11">
        <f>IF(D9="","",IF(AND(AN$4&gt;D9,AN$4&lt;=E9),B9,""))</f>
        <v/>
      </c>
      <c r="AO9" s="11">
        <f>IF(D9="","",IF(AND(AO$4&gt;D9,AO$4&lt;=E9),B9,""))</f>
        <v/>
      </c>
      <c r="AP9" s="11">
        <f>IF(D9="","",IF(AND(AP$4&gt;D9,AP$4&lt;=E9),B9,""))</f>
        <v/>
      </c>
      <c r="AQ9" s="11">
        <f>IF(D9="","",IF(AND(AQ$4&gt;D9,AQ$4&lt;=E9),B9,""))</f>
        <v/>
      </c>
      <c r="AR9" s="11">
        <f>IF(D9="","",IF(AND(AR$4&gt;D9,AR$4&lt;=E9),B9,""))</f>
        <v/>
      </c>
      <c r="AS9" s="11">
        <f>IF(D9="","",IF(AND(AS$4&gt;D9,AS$4&lt;=E9),B9,""))</f>
        <v/>
      </c>
    </row>
    <row r="10">
      <c r="A10" s="10" t="inlineStr">
        <is>
          <t>F</t>
        </is>
      </c>
      <c r="B10" s="4" t="n">
        <v>2</v>
      </c>
      <c r="C10" s="4" t="n">
        <v>5</v>
      </c>
      <c r="D10" s="7" t="n"/>
      <c r="E10" s="4">
        <f>IF(D10="","",D10+C10)</f>
        <v/>
      </c>
      <c r="F10" s="11">
        <f>IF(D10="","",IF(AND(F$4&gt;D10,F$4&lt;=E10),B10,""))</f>
        <v/>
      </c>
      <c r="G10" s="11">
        <f>IF(D10="","",IF(AND(G$4&gt;D10,G$4&lt;=E10),B10,""))</f>
        <v/>
      </c>
      <c r="H10" s="11">
        <f>IF(D10="","",IF(AND(H$4&gt;D10,H$4&lt;=E10),B10,""))</f>
        <v/>
      </c>
      <c r="I10" s="11">
        <f>IF(D10="","",IF(AND(I$4&gt;D10,I$4&lt;=E10),B10,""))</f>
        <v/>
      </c>
      <c r="J10" s="11">
        <f>IF(D10="","",IF(AND(J$4&gt;D10,J$4&lt;=E10),B10,""))</f>
        <v/>
      </c>
      <c r="K10" s="11">
        <f>IF(D10="","",IF(AND(K$4&gt;D10,K$4&lt;=E10),B10,""))</f>
        <v/>
      </c>
      <c r="L10" s="11">
        <f>IF(D10="","",IF(AND(L$4&gt;D10,L$4&lt;=E10),B10,""))</f>
        <v/>
      </c>
      <c r="M10" s="11">
        <f>IF(D10="","",IF(AND(M$4&gt;D10,M$4&lt;=E10),B10,""))</f>
        <v/>
      </c>
      <c r="N10" s="11">
        <f>IF(D10="","",IF(AND(N$4&gt;D10,N$4&lt;=E10),B10,""))</f>
        <v/>
      </c>
      <c r="O10" s="11">
        <f>IF(D10="","",IF(AND(O$4&gt;D10,O$4&lt;=E10),B10,""))</f>
        <v/>
      </c>
      <c r="P10" s="11">
        <f>IF(D10="","",IF(AND(P$4&gt;D10,P$4&lt;=E10),B10,""))</f>
        <v/>
      </c>
      <c r="Q10" s="11">
        <f>IF(D10="","",IF(AND(Q$4&gt;D10,Q$4&lt;=E10),B10,""))</f>
        <v/>
      </c>
      <c r="R10" s="11">
        <f>IF(D10="","",IF(AND(R$4&gt;D10,R$4&lt;=E10),B10,""))</f>
        <v/>
      </c>
      <c r="S10" s="11">
        <f>IF(D10="","",IF(AND(S$4&gt;D10,S$4&lt;=E10),B10,""))</f>
        <v/>
      </c>
      <c r="T10" s="11">
        <f>IF(D10="","",IF(AND(T$4&gt;D10,T$4&lt;=E10),B10,""))</f>
        <v/>
      </c>
      <c r="U10" s="11">
        <f>IF(D10="","",IF(AND(U$4&gt;D10,U$4&lt;=E10),B10,""))</f>
        <v/>
      </c>
      <c r="V10" s="11">
        <f>IF(D10="","",IF(AND(V$4&gt;D10,V$4&lt;=E10),B10,""))</f>
        <v/>
      </c>
      <c r="W10" s="11">
        <f>IF(D10="","",IF(AND(W$4&gt;D10,W$4&lt;=E10),B10,""))</f>
        <v/>
      </c>
      <c r="X10" s="11">
        <f>IF(D10="","",IF(AND(X$4&gt;D10,X$4&lt;=E10),B10,""))</f>
        <v/>
      </c>
      <c r="Y10" s="11">
        <f>IF(D10="","",IF(AND(Y$4&gt;D10,Y$4&lt;=E10),B10,""))</f>
        <v/>
      </c>
      <c r="Z10" s="11">
        <f>IF(D10="","",IF(AND(Z$4&gt;D10,Z$4&lt;=E10),B10,""))</f>
        <v/>
      </c>
      <c r="AA10" s="11">
        <f>IF(D10="","",IF(AND(AA$4&gt;D10,AA$4&lt;=E10),B10,""))</f>
        <v/>
      </c>
      <c r="AB10" s="11">
        <f>IF(D10="","",IF(AND(AB$4&gt;D10,AB$4&lt;=E10),B10,""))</f>
        <v/>
      </c>
      <c r="AC10" s="11">
        <f>IF(D10="","",IF(AND(AC$4&gt;D10,AC$4&lt;=E10),B10,""))</f>
        <v/>
      </c>
      <c r="AD10" s="11">
        <f>IF(D10="","",IF(AND(AD$4&gt;D10,AD$4&lt;=E10),B10,""))</f>
        <v/>
      </c>
      <c r="AE10" s="11">
        <f>IF(D10="","",IF(AND(AE$4&gt;D10,AE$4&lt;=E10),B10,""))</f>
        <v/>
      </c>
      <c r="AF10" s="11">
        <f>IF(D10="","",IF(AND(AF$4&gt;D10,AF$4&lt;=E10),B10,""))</f>
        <v/>
      </c>
      <c r="AG10" s="11">
        <f>IF(D10="","",IF(AND(AG$4&gt;D10,AG$4&lt;=E10),B10,""))</f>
        <v/>
      </c>
      <c r="AH10" s="11">
        <f>IF(D10="","",IF(AND(AH$4&gt;D10,AH$4&lt;=E10),B10,""))</f>
        <v/>
      </c>
      <c r="AI10" s="11">
        <f>IF(D10="","",IF(AND(AI$4&gt;D10,AI$4&lt;=E10),B10,""))</f>
        <v/>
      </c>
      <c r="AJ10" s="11">
        <f>IF(D10="","",IF(AND(AJ$4&gt;D10,AJ$4&lt;=E10),B10,""))</f>
        <v/>
      </c>
      <c r="AK10" s="11">
        <f>IF(D10="","",IF(AND(AK$4&gt;D10,AK$4&lt;=E10),B10,""))</f>
        <v/>
      </c>
      <c r="AL10" s="11">
        <f>IF(D10="","",IF(AND(AL$4&gt;D10,AL$4&lt;=E10),B10,""))</f>
        <v/>
      </c>
      <c r="AM10" s="11">
        <f>IF(D10="","",IF(AND(AM$4&gt;D10,AM$4&lt;=E10),B10,""))</f>
        <v/>
      </c>
      <c r="AN10" s="11">
        <f>IF(D10="","",IF(AND(AN$4&gt;D10,AN$4&lt;=E10),B10,""))</f>
        <v/>
      </c>
      <c r="AO10" s="11">
        <f>IF(D10="","",IF(AND(AO$4&gt;D10,AO$4&lt;=E10),B10,""))</f>
        <v/>
      </c>
      <c r="AP10" s="11">
        <f>IF(D10="","",IF(AND(AP$4&gt;D10,AP$4&lt;=E10),B10,""))</f>
        <v/>
      </c>
      <c r="AQ10" s="11">
        <f>IF(D10="","",IF(AND(AQ$4&gt;D10,AQ$4&lt;=E10),B10,""))</f>
        <v/>
      </c>
      <c r="AR10" s="11">
        <f>IF(D10="","",IF(AND(AR$4&gt;D10,AR$4&lt;=E10),B10,""))</f>
        <v/>
      </c>
      <c r="AS10" s="11">
        <f>IF(D10="","",IF(AND(AS$4&gt;D10,AS$4&lt;=E10),B10,""))</f>
        <v/>
      </c>
    </row>
    <row r="11">
      <c r="A11" s="10" t="inlineStr">
        <is>
          <t>G</t>
        </is>
      </c>
      <c r="B11" s="4" t="n">
        <v>1</v>
      </c>
      <c r="C11" s="4" t="n">
        <v>3</v>
      </c>
      <c r="D11" s="7" t="n"/>
      <c r="E11" s="4">
        <f>IF(D11="","",D11+C11)</f>
        <v/>
      </c>
      <c r="F11" s="11">
        <f>IF(D11="","",IF(AND(F$4&gt;D11,F$4&lt;=E11),B11,""))</f>
        <v/>
      </c>
      <c r="G11" s="11">
        <f>IF(D11="","",IF(AND(G$4&gt;D11,G$4&lt;=E11),B11,""))</f>
        <v/>
      </c>
      <c r="H11" s="11">
        <f>IF(D11="","",IF(AND(H$4&gt;D11,H$4&lt;=E11),B11,""))</f>
        <v/>
      </c>
      <c r="I11" s="11">
        <f>IF(D11="","",IF(AND(I$4&gt;D11,I$4&lt;=E11),B11,""))</f>
        <v/>
      </c>
      <c r="J11" s="11">
        <f>IF(D11="","",IF(AND(J$4&gt;D11,J$4&lt;=E11),B11,""))</f>
        <v/>
      </c>
      <c r="K11" s="11">
        <f>IF(D11="","",IF(AND(K$4&gt;D11,K$4&lt;=E11),B11,""))</f>
        <v/>
      </c>
      <c r="L11" s="11">
        <f>IF(D11="","",IF(AND(L$4&gt;D11,L$4&lt;=E11),B11,""))</f>
        <v/>
      </c>
      <c r="M11" s="11">
        <f>IF(D11="","",IF(AND(M$4&gt;D11,M$4&lt;=E11),B11,""))</f>
        <v/>
      </c>
      <c r="N11" s="11">
        <f>IF(D11="","",IF(AND(N$4&gt;D11,N$4&lt;=E11),B11,""))</f>
        <v/>
      </c>
      <c r="O11" s="11">
        <f>IF(D11="","",IF(AND(O$4&gt;D11,O$4&lt;=E11),B11,""))</f>
        <v/>
      </c>
      <c r="P11" s="11">
        <f>IF(D11="","",IF(AND(P$4&gt;D11,P$4&lt;=E11),B11,""))</f>
        <v/>
      </c>
      <c r="Q11" s="11">
        <f>IF(D11="","",IF(AND(Q$4&gt;D11,Q$4&lt;=E11),B11,""))</f>
        <v/>
      </c>
      <c r="R11" s="11">
        <f>IF(D11="","",IF(AND(R$4&gt;D11,R$4&lt;=E11),B11,""))</f>
        <v/>
      </c>
      <c r="S11" s="11">
        <f>IF(D11="","",IF(AND(S$4&gt;D11,S$4&lt;=E11),B11,""))</f>
        <v/>
      </c>
      <c r="T11" s="11">
        <f>IF(D11="","",IF(AND(T$4&gt;D11,T$4&lt;=E11),B11,""))</f>
        <v/>
      </c>
      <c r="U11" s="11">
        <f>IF(D11="","",IF(AND(U$4&gt;D11,U$4&lt;=E11),B11,""))</f>
        <v/>
      </c>
      <c r="V11" s="11">
        <f>IF(D11="","",IF(AND(V$4&gt;D11,V$4&lt;=E11),B11,""))</f>
        <v/>
      </c>
      <c r="W11" s="11">
        <f>IF(D11="","",IF(AND(W$4&gt;D11,W$4&lt;=E11),B11,""))</f>
        <v/>
      </c>
      <c r="X11" s="11">
        <f>IF(D11="","",IF(AND(X$4&gt;D11,X$4&lt;=E11),B11,""))</f>
        <v/>
      </c>
      <c r="Y11" s="11">
        <f>IF(D11="","",IF(AND(Y$4&gt;D11,Y$4&lt;=E11),B11,""))</f>
        <v/>
      </c>
      <c r="Z11" s="11">
        <f>IF(D11="","",IF(AND(Z$4&gt;D11,Z$4&lt;=E11),B11,""))</f>
        <v/>
      </c>
      <c r="AA11" s="11">
        <f>IF(D11="","",IF(AND(AA$4&gt;D11,AA$4&lt;=E11),B11,""))</f>
        <v/>
      </c>
      <c r="AB11" s="11">
        <f>IF(D11="","",IF(AND(AB$4&gt;D11,AB$4&lt;=E11),B11,""))</f>
        <v/>
      </c>
      <c r="AC11" s="11">
        <f>IF(D11="","",IF(AND(AC$4&gt;D11,AC$4&lt;=E11),B11,""))</f>
        <v/>
      </c>
      <c r="AD11" s="11">
        <f>IF(D11="","",IF(AND(AD$4&gt;D11,AD$4&lt;=E11),B11,""))</f>
        <v/>
      </c>
      <c r="AE11" s="11">
        <f>IF(D11="","",IF(AND(AE$4&gt;D11,AE$4&lt;=E11),B11,""))</f>
        <v/>
      </c>
      <c r="AF11" s="11">
        <f>IF(D11="","",IF(AND(AF$4&gt;D11,AF$4&lt;=E11),B11,""))</f>
        <v/>
      </c>
      <c r="AG11" s="11">
        <f>IF(D11="","",IF(AND(AG$4&gt;D11,AG$4&lt;=E11),B11,""))</f>
        <v/>
      </c>
      <c r="AH11" s="11">
        <f>IF(D11="","",IF(AND(AH$4&gt;D11,AH$4&lt;=E11),B11,""))</f>
        <v/>
      </c>
      <c r="AI11" s="11">
        <f>IF(D11="","",IF(AND(AI$4&gt;D11,AI$4&lt;=E11),B11,""))</f>
        <v/>
      </c>
      <c r="AJ11" s="11">
        <f>IF(D11="","",IF(AND(AJ$4&gt;D11,AJ$4&lt;=E11),B11,""))</f>
        <v/>
      </c>
      <c r="AK11" s="11">
        <f>IF(D11="","",IF(AND(AK$4&gt;D11,AK$4&lt;=E11),B11,""))</f>
        <v/>
      </c>
      <c r="AL11" s="11">
        <f>IF(D11="","",IF(AND(AL$4&gt;D11,AL$4&lt;=E11),B11,""))</f>
        <v/>
      </c>
      <c r="AM11" s="11">
        <f>IF(D11="","",IF(AND(AM$4&gt;D11,AM$4&lt;=E11),B11,""))</f>
        <v/>
      </c>
      <c r="AN11" s="11">
        <f>IF(D11="","",IF(AND(AN$4&gt;D11,AN$4&lt;=E11),B11,""))</f>
        <v/>
      </c>
      <c r="AO11" s="11">
        <f>IF(D11="","",IF(AND(AO$4&gt;D11,AO$4&lt;=E11),B11,""))</f>
        <v/>
      </c>
      <c r="AP11" s="11">
        <f>IF(D11="","",IF(AND(AP$4&gt;D11,AP$4&lt;=E11),B11,""))</f>
        <v/>
      </c>
      <c r="AQ11" s="11">
        <f>IF(D11="","",IF(AND(AQ$4&gt;D11,AQ$4&lt;=E11),B11,""))</f>
        <v/>
      </c>
      <c r="AR11" s="11">
        <f>IF(D11="","",IF(AND(AR$4&gt;D11,AR$4&lt;=E11),B11,""))</f>
        <v/>
      </c>
      <c r="AS11" s="11">
        <f>IF(D11="","",IF(AND(AS$4&gt;D11,AS$4&lt;=E11),B11,""))</f>
        <v/>
      </c>
    </row>
    <row r="12">
      <c r="A12" s="10" t="inlineStr">
        <is>
          <t>H</t>
        </is>
      </c>
      <c r="B12" s="4" t="n">
        <v>2</v>
      </c>
      <c r="C12" s="4" t="n">
        <v>4</v>
      </c>
      <c r="D12" s="7" t="n"/>
      <c r="E12" s="4">
        <f>IF(D12="","",D12+C12)</f>
        <v/>
      </c>
      <c r="F12" s="11">
        <f>IF(D12="","",IF(AND(F$4&gt;D12,F$4&lt;=E12),B12,""))</f>
        <v/>
      </c>
      <c r="G12" s="11">
        <f>IF(D12="","",IF(AND(G$4&gt;D12,G$4&lt;=E12),B12,""))</f>
        <v/>
      </c>
      <c r="H12" s="11">
        <f>IF(D12="","",IF(AND(H$4&gt;D12,H$4&lt;=E12),B12,""))</f>
        <v/>
      </c>
      <c r="I12" s="11">
        <f>IF(D12="","",IF(AND(I$4&gt;D12,I$4&lt;=E12),B12,""))</f>
        <v/>
      </c>
      <c r="J12" s="11">
        <f>IF(D12="","",IF(AND(J$4&gt;D12,J$4&lt;=E12),B12,""))</f>
        <v/>
      </c>
      <c r="K12" s="11">
        <f>IF(D12="","",IF(AND(K$4&gt;D12,K$4&lt;=E12),B12,""))</f>
        <v/>
      </c>
      <c r="L12" s="11">
        <f>IF(D12="","",IF(AND(L$4&gt;D12,L$4&lt;=E12),B12,""))</f>
        <v/>
      </c>
      <c r="M12" s="11">
        <f>IF(D12="","",IF(AND(M$4&gt;D12,M$4&lt;=E12),B12,""))</f>
        <v/>
      </c>
      <c r="N12" s="11">
        <f>IF(D12="","",IF(AND(N$4&gt;D12,N$4&lt;=E12),B12,""))</f>
        <v/>
      </c>
      <c r="O12" s="11">
        <f>IF(D12="","",IF(AND(O$4&gt;D12,O$4&lt;=E12),B12,""))</f>
        <v/>
      </c>
      <c r="P12" s="11">
        <f>IF(D12="","",IF(AND(P$4&gt;D12,P$4&lt;=E12),B12,""))</f>
        <v/>
      </c>
      <c r="Q12" s="11">
        <f>IF(D12="","",IF(AND(Q$4&gt;D12,Q$4&lt;=E12),B12,""))</f>
        <v/>
      </c>
      <c r="R12" s="11">
        <f>IF(D12="","",IF(AND(R$4&gt;D12,R$4&lt;=E12),B12,""))</f>
        <v/>
      </c>
      <c r="S12" s="11">
        <f>IF(D12="","",IF(AND(S$4&gt;D12,S$4&lt;=E12),B12,""))</f>
        <v/>
      </c>
      <c r="T12" s="11">
        <f>IF(D12="","",IF(AND(T$4&gt;D12,T$4&lt;=E12),B12,""))</f>
        <v/>
      </c>
      <c r="U12" s="11">
        <f>IF(D12="","",IF(AND(U$4&gt;D12,U$4&lt;=E12),B12,""))</f>
        <v/>
      </c>
      <c r="V12" s="11">
        <f>IF(D12="","",IF(AND(V$4&gt;D12,V$4&lt;=E12),B12,""))</f>
        <v/>
      </c>
      <c r="W12" s="11">
        <f>IF(D12="","",IF(AND(W$4&gt;D12,W$4&lt;=E12),B12,""))</f>
        <v/>
      </c>
      <c r="X12" s="11">
        <f>IF(D12="","",IF(AND(X$4&gt;D12,X$4&lt;=E12),B12,""))</f>
        <v/>
      </c>
      <c r="Y12" s="11">
        <f>IF(D12="","",IF(AND(Y$4&gt;D12,Y$4&lt;=E12),B12,""))</f>
        <v/>
      </c>
      <c r="Z12" s="11">
        <f>IF(D12="","",IF(AND(Z$4&gt;D12,Z$4&lt;=E12),B12,""))</f>
        <v/>
      </c>
      <c r="AA12" s="11">
        <f>IF(D12="","",IF(AND(AA$4&gt;D12,AA$4&lt;=E12),B12,""))</f>
        <v/>
      </c>
      <c r="AB12" s="11">
        <f>IF(D12="","",IF(AND(AB$4&gt;D12,AB$4&lt;=E12),B12,""))</f>
        <v/>
      </c>
      <c r="AC12" s="11">
        <f>IF(D12="","",IF(AND(AC$4&gt;D12,AC$4&lt;=E12),B12,""))</f>
        <v/>
      </c>
      <c r="AD12" s="11">
        <f>IF(D12="","",IF(AND(AD$4&gt;D12,AD$4&lt;=E12),B12,""))</f>
        <v/>
      </c>
      <c r="AE12" s="11">
        <f>IF(D12="","",IF(AND(AE$4&gt;D12,AE$4&lt;=E12),B12,""))</f>
        <v/>
      </c>
      <c r="AF12" s="11">
        <f>IF(D12="","",IF(AND(AF$4&gt;D12,AF$4&lt;=E12),B12,""))</f>
        <v/>
      </c>
      <c r="AG12" s="11">
        <f>IF(D12="","",IF(AND(AG$4&gt;D12,AG$4&lt;=E12),B12,""))</f>
        <v/>
      </c>
      <c r="AH12" s="11">
        <f>IF(D12="","",IF(AND(AH$4&gt;D12,AH$4&lt;=E12),B12,""))</f>
        <v/>
      </c>
      <c r="AI12" s="11">
        <f>IF(D12="","",IF(AND(AI$4&gt;D12,AI$4&lt;=E12),B12,""))</f>
        <v/>
      </c>
      <c r="AJ12" s="11">
        <f>IF(D12="","",IF(AND(AJ$4&gt;D12,AJ$4&lt;=E12),B12,""))</f>
        <v/>
      </c>
      <c r="AK12" s="11">
        <f>IF(D12="","",IF(AND(AK$4&gt;D12,AK$4&lt;=E12),B12,""))</f>
        <v/>
      </c>
      <c r="AL12" s="11">
        <f>IF(D12="","",IF(AND(AL$4&gt;D12,AL$4&lt;=E12),B12,""))</f>
        <v/>
      </c>
      <c r="AM12" s="11">
        <f>IF(D12="","",IF(AND(AM$4&gt;D12,AM$4&lt;=E12),B12,""))</f>
        <v/>
      </c>
      <c r="AN12" s="11">
        <f>IF(D12="","",IF(AND(AN$4&gt;D12,AN$4&lt;=E12),B12,""))</f>
        <v/>
      </c>
      <c r="AO12" s="11">
        <f>IF(D12="","",IF(AND(AO$4&gt;D12,AO$4&lt;=E12),B12,""))</f>
        <v/>
      </c>
      <c r="AP12" s="11">
        <f>IF(D12="","",IF(AND(AP$4&gt;D12,AP$4&lt;=E12),B12,""))</f>
        <v/>
      </c>
      <c r="AQ12" s="11">
        <f>IF(D12="","",IF(AND(AQ$4&gt;D12,AQ$4&lt;=E12),B12,""))</f>
        <v/>
      </c>
      <c r="AR12" s="11">
        <f>IF(D12="","",IF(AND(AR$4&gt;D12,AR$4&lt;=E12),B12,""))</f>
        <v/>
      </c>
      <c r="AS12" s="11">
        <f>IF(D12="","",IF(AND(AS$4&gt;D12,AS$4&lt;=E12),B12,""))</f>
        <v/>
      </c>
    </row>
    <row r="13">
      <c r="A13" s="10" t="inlineStr">
        <is>
          <t>I</t>
        </is>
      </c>
      <c r="B13" s="4" t="n">
        <v>2</v>
      </c>
      <c r="C13" s="4" t="n">
        <v>2</v>
      </c>
      <c r="D13" s="7" t="n"/>
      <c r="E13" s="4">
        <f>IF(D13="","",D13+C13)</f>
        <v/>
      </c>
      <c r="F13" s="11">
        <f>IF(D13="","",IF(AND(F$4&gt;D13,F$4&lt;=E13),B13,""))</f>
        <v/>
      </c>
      <c r="G13" s="11">
        <f>IF(D13="","",IF(AND(G$4&gt;D13,G$4&lt;=E13),B13,""))</f>
        <v/>
      </c>
      <c r="H13" s="11">
        <f>IF(D13="","",IF(AND(H$4&gt;D13,H$4&lt;=E13),B13,""))</f>
        <v/>
      </c>
      <c r="I13" s="11">
        <f>IF(D13="","",IF(AND(I$4&gt;D13,I$4&lt;=E13),B13,""))</f>
        <v/>
      </c>
      <c r="J13" s="11">
        <f>IF(D13="","",IF(AND(J$4&gt;D13,J$4&lt;=E13),B13,""))</f>
        <v/>
      </c>
      <c r="K13" s="11">
        <f>IF(D13="","",IF(AND(K$4&gt;D13,K$4&lt;=E13),B13,""))</f>
        <v/>
      </c>
      <c r="L13" s="11">
        <f>IF(D13="","",IF(AND(L$4&gt;D13,L$4&lt;=E13),B13,""))</f>
        <v/>
      </c>
      <c r="M13" s="11">
        <f>IF(D13="","",IF(AND(M$4&gt;D13,M$4&lt;=E13),B13,""))</f>
        <v/>
      </c>
      <c r="N13" s="11">
        <f>IF(D13="","",IF(AND(N$4&gt;D13,N$4&lt;=E13),B13,""))</f>
        <v/>
      </c>
      <c r="O13" s="11">
        <f>IF(D13="","",IF(AND(O$4&gt;D13,O$4&lt;=E13),B13,""))</f>
        <v/>
      </c>
      <c r="P13" s="11">
        <f>IF(D13="","",IF(AND(P$4&gt;D13,P$4&lt;=E13),B13,""))</f>
        <v/>
      </c>
      <c r="Q13" s="11">
        <f>IF(D13="","",IF(AND(Q$4&gt;D13,Q$4&lt;=E13),B13,""))</f>
        <v/>
      </c>
      <c r="R13" s="11">
        <f>IF(D13="","",IF(AND(R$4&gt;D13,R$4&lt;=E13),B13,""))</f>
        <v/>
      </c>
      <c r="S13" s="11">
        <f>IF(D13="","",IF(AND(S$4&gt;D13,S$4&lt;=E13),B13,""))</f>
        <v/>
      </c>
      <c r="T13" s="11">
        <f>IF(D13="","",IF(AND(T$4&gt;D13,T$4&lt;=E13),B13,""))</f>
        <v/>
      </c>
      <c r="U13" s="11">
        <f>IF(D13="","",IF(AND(U$4&gt;D13,U$4&lt;=E13),B13,""))</f>
        <v/>
      </c>
      <c r="V13" s="11">
        <f>IF(D13="","",IF(AND(V$4&gt;D13,V$4&lt;=E13),B13,""))</f>
        <v/>
      </c>
      <c r="W13" s="11">
        <f>IF(D13="","",IF(AND(W$4&gt;D13,W$4&lt;=E13),B13,""))</f>
        <v/>
      </c>
      <c r="X13" s="11">
        <f>IF(D13="","",IF(AND(X$4&gt;D13,X$4&lt;=E13),B13,""))</f>
        <v/>
      </c>
      <c r="Y13" s="11">
        <f>IF(D13="","",IF(AND(Y$4&gt;D13,Y$4&lt;=E13),B13,""))</f>
        <v/>
      </c>
      <c r="Z13" s="11">
        <f>IF(D13="","",IF(AND(Z$4&gt;D13,Z$4&lt;=E13),B13,""))</f>
        <v/>
      </c>
      <c r="AA13" s="11">
        <f>IF(D13="","",IF(AND(AA$4&gt;D13,AA$4&lt;=E13),B13,""))</f>
        <v/>
      </c>
      <c r="AB13" s="11">
        <f>IF(D13="","",IF(AND(AB$4&gt;D13,AB$4&lt;=E13),B13,""))</f>
        <v/>
      </c>
      <c r="AC13" s="11">
        <f>IF(D13="","",IF(AND(AC$4&gt;D13,AC$4&lt;=E13),B13,""))</f>
        <v/>
      </c>
      <c r="AD13" s="11">
        <f>IF(D13="","",IF(AND(AD$4&gt;D13,AD$4&lt;=E13),B13,""))</f>
        <v/>
      </c>
      <c r="AE13" s="11">
        <f>IF(D13="","",IF(AND(AE$4&gt;D13,AE$4&lt;=E13),B13,""))</f>
        <v/>
      </c>
      <c r="AF13" s="11">
        <f>IF(D13="","",IF(AND(AF$4&gt;D13,AF$4&lt;=E13),B13,""))</f>
        <v/>
      </c>
      <c r="AG13" s="11">
        <f>IF(D13="","",IF(AND(AG$4&gt;D13,AG$4&lt;=E13),B13,""))</f>
        <v/>
      </c>
      <c r="AH13" s="11">
        <f>IF(D13="","",IF(AND(AH$4&gt;D13,AH$4&lt;=E13),B13,""))</f>
        <v/>
      </c>
      <c r="AI13" s="11">
        <f>IF(D13="","",IF(AND(AI$4&gt;D13,AI$4&lt;=E13),B13,""))</f>
        <v/>
      </c>
      <c r="AJ13" s="11">
        <f>IF(D13="","",IF(AND(AJ$4&gt;D13,AJ$4&lt;=E13),B13,""))</f>
        <v/>
      </c>
      <c r="AK13" s="11">
        <f>IF(D13="","",IF(AND(AK$4&gt;D13,AK$4&lt;=E13),B13,""))</f>
        <v/>
      </c>
      <c r="AL13" s="11">
        <f>IF(D13="","",IF(AND(AL$4&gt;D13,AL$4&lt;=E13),B13,""))</f>
        <v/>
      </c>
      <c r="AM13" s="11">
        <f>IF(D13="","",IF(AND(AM$4&gt;D13,AM$4&lt;=E13),B13,""))</f>
        <v/>
      </c>
      <c r="AN13" s="11">
        <f>IF(D13="","",IF(AND(AN$4&gt;D13,AN$4&lt;=E13),B13,""))</f>
        <v/>
      </c>
      <c r="AO13" s="11">
        <f>IF(D13="","",IF(AND(AO$4&gt;D13,AO$4&lt;=E13),B13,""))</f>
        <v/>
      </c>
      <c r="AP13" s="11">
        <f>IF(D13="","",IF(AND(AP$4&gt;D13,AP$4&lt;=E13),B13,""))</f>
        <v/>
      </c>
      <c r="AQ13" s="11">
        <f>IF(D13="","",IF(AND(AQ$4&gt;D13,AQ$4&lt;=E13),B13,""))</f>
        <v/>
      </c>
      <c r="AR13" s="11">
        <f>IF(D13="","",IF(AND(AR$4&gt;D13,AR$4&lt;=E13),B13,""))</f>
        <v/>
      </c>
      <c r="AS13" s="11">
        <f>IF(D13="","",IF(AND(AS$4&gt;D13,AS$4&lt;=E13),B13,""))</f>
        <v/>
      </c>
    </row>
    <row r="14">
      <c r="A14" s="8" t="inlineStr">
        <is>
          <t>Load</t>
        </is>
      </c>
      <c r="F14" s="12">
        <f>SUM(F5:F13)</f>
        <v/>
      </c>
      <c r="G14" s="12">
        <f>SUM(G5:G13)</f>
        <v/>
      </c>
      <c r="H14" s="12">
        <f>SUM(H5:H13)</f>
        <v/>
      </c>
      <c r="I14" s="12">
        <f>SUM(I5:I13)</f>
        <v/>
      </c>
      <c r="J14" s="12">
        <f>SUM(J5:J13)</f>
        <v/>
      </c>
      <c r="K14" s="12">
        <f>SUM(K5:K13)</f>
        <v/>
      </c>
      <c r="L14" s="12">
        <f>SUM(L5:L13)</f>
        <v/>
      </c>
      <c r="M14" s="12">
        <f>SUM(M5:M13)</f>
        <v/>
      </c>
      <c r="N14" s="12">
        <f>SUM(N5:N13)</f>
        <v/>
      </c>
      <c r="O14" s="12">
        <f>SUM(O5:O13)</f>
        <v/>
      </c>
      <c r="P14" s="12">
        <f>SUM(P5:P13)</f>
        <v/>
      </c>
      <c r="Q14" s="12">
        <f>SUM(Q5:Q13)</f>
        <v/>
      </c>
      <c r="R14" s="12">
        <f>SUM(R5:R13)</f>
        <v/>
      </c>
      <c r="S14" s="12">
        <f>SUM(S5:S13)</f>
        <v/>
      </c>
      <c r="T14" s="12">
        <f>SUM(T5:T13)</f>
        <v/>
      </c>
      <c r="U14" s="12">
        <f>SUM(U5:U13)</f>
        <v/>
      </c>
      <c r="V14" s="12">
        <f>SUM(V5:V13)</f>
        <v/>
      </c>
      <c r="W14" s="12">
        <f>SUM(W5:W13)</f>
        <v/>
      </c>
      <c r="X14" s="12">
        <f>SUM(X5:X13)</f>
        <v/>
      </c>
      <c r="Y14" s="12">
        <f>SUM(Y5:Y13)</f>
        <v/>
      </c>
      <c r="Z14" s="12">
        <f>SUM(Z5:Z13)</f>
        <v/>
      </c>
      <c r="AA14" s="12">
        <f>SUM(AA5:AA13)</f>
        <v/>
      </c>
      <c r="AB14" s="12">
        <f>SUM(AB5:AB13)</f>
        <v/>
      </c>
      <c r="AC14" s="12">
        <f>SUM(AC5:AC13)</f>
        <v/>
      </c>
      <c r="AD14" s="12">
        <f>SUM(AD5:AD13)</f>
        <v/>
      </c>
      <c r="AE14" s="12">
        <f>SUM(AE5:AE13)</f>
        <v/>
      </c>
      <c r="AF14" s="12">
        <f>SUM(AF5:AF13)</f>
        <v/>
      </c>
      <c r="AG14" s="12">
        <f>SUM(AG5:AG13)</f>
        <v/>
      </c>
      <c r="AH14" s="12">
        <f>SUM(AH5:AH13)</f>
        <v/>
      </c>
      <c r="AI14" s="12">
        <f>SUM(AI5:AI13)</f>
        <v/>
      </c>
      <c r="AJ14" s="12">
        <f>SUM(AJ5:AJ13)</f>
        <v/>
      </c>
      <c r="AK14" s="12">
        <f>SUM(AK5:AK13)</f>
        <v/>
      </c>
      <c r="AL14" s="12">
        <f>SUM(AL5:AL13)</f>
        <v/>
      </c>
      <c r="AM14" s="12">
        <f>SUM(AM5:AM13)</f>
        <v/>
      </c>
      <c r="AN14" s="12">
        <f>SUM(AN5:AN13)</f>
        <v/>
      </c>
      <c r="AO14" s="12">
        <f>SUM(AO5:AO13)</f>
        <v/>
      </c>
      <c r="AP14" s="12">
        <f>SUM(AP5:AP13)</f>
        <v/>
      </c>
      <c r="AQ14" s="12">
        <f>SUM(AQ5:AQ13)</f>
        <v/>
      </c>
      <c r="AR14" s="12">
        <f>SUM(AR5:AR13)</f>
        <v/>
      </c>
      <c r="AS14" s="12">
        <f>SUM(AS5:AS13)</f>
        <v/>
      </c>
    </row>
    <row r="15">
      <c r="A15" s="8" t="inlineStr">
        <is>
          <t>Available</t>
        </is>
      </c>
      <c r="F15" s="11" t="n">
        <v>3</v>
      </c>
      <c r="G15" s="11" t="n">
        <v>3</v>
      </c>
      <c r="H15" s="11" t="n">
        <v>3</v>
      </c>
      <c r="I15" s="11" t="n">
        <v>3</v>
      </c>
      <c r="J15" s="11" t="n">
        <v>3</v>
      </c>
      <c r="K15" s="11" t="n">
        <v>3</v>
      </c>
      <c r="L15" s="11" t="n">
        <v>3</v>
      </c>
      <c r="M15" s="11" t="n">
        <v>3</v>
      </c>
      <c r="N15" s="11" t="n">
        <v>3</v>
      </c>
      <c r="O15" s="11" t="n">
        <v>3</v>
      </c>
      <c r="P15" s="11" t="n">
        <v>3</v>
      </c>
      <c r="Q15" s="11" t="n">
        <v>3</v>
      </c>
      <c r="R15" s="11" t="n">
        <v>3</v>
      </c>
      <c r="S15" s="11" t="n">
        <v>3</v>
      </c>
      <c r="T15" s="11" t="n">
        <v>3</v>
      </c>
      <c r="U15" s="11" t="n">
        <v>3</v>
      </c>
      <c r="V15" s="11" t="n">
        <v>3</v>
      </c>
      <c r="W15" s="11" t="n">
        <v>3</v>
      </c>
      <c r="X15" s="11" t="n">
        <v>3</v>
      </c>
      <c r="Y15" s="11" t="n">
        <v>3</v>
      </c>
      <c r="Z15" s="11" t="n">
        <v>3</v>
      </c>
      <c r="AA15" s="11" t="n">
        <v>3</v>
      </c>
      <c r="AB15" s="11" t="n">
        <v>3</v>
      </c>
      <c r="AC15" s="11" t="n">
        <v>3</v>
      </c>
      <c r="AD15" s="11" t="n">
        <v>3</v>
      </c>
      <c r="AE15" s="11" t="n">
        <v>3</v>
      </c>
      <c r="AF15" s="11" t="n">
        <v>3</v>
      </c>
      <c r="AG15" s="11" t="n">
        <v>3</v>
      </c>
      <c r="AH15" s="11" t="n">
        <v>3</v>
      </c>
      <c r="AI15" s="11" t="n">
        <v>3</v>
      </c>
      <c r="AJ15" s="11" t="n">
        <v>3</v>
      </c>
      <c r="AK15" s="11" t="n">
        <v>3</v>
      </c>
      <c r="AL15" s="11" t="n">
        <v>3</v>
      </c>
      <c r="AM15" s="11" t="n">
        <v>3</v>
      </c>
      <c r="AN15" s="11" t="n">
        <v>3</v>
      </c>
      <c r="AO15" s="11" t="n">
        <v>3</v>
      </c>
      <c r="AP15" s="11" t="n">
        <v>3</v>
      </c>
      <c r="AQ15" s="11" t="n">
        <v>3</v>
      </c>
      <c r="AR15" s="11" t="n">
        <v>3</v>
      </c>
      <c r="AS15" s="11" t="n">
        <v>3</v>
      </c>
    </row>
    <row r="16">
      <c r="A16" s="8" t="inlineStr">
        <is>
          <t>Over by</t>
        </is>
      </c>
      <c r="F16" s="13">
        <f>IF(F14&gt;F15,F14-F15,"")</f>
        <v/>
      </c>
      <c r="G16" s="13">
        <f>IF(G14&gt;G15,G14-G15,"")</f>
        <v/>
      </c>
      <c r="H16" s="13">
        <f>IF(H14&gt;H15,H14-H15,"")</f>
        <v/>
      </c>
      <c r="I16" s="13">
        <f>IF(I14&gt;I15,I14-I15,"")</f>
        <v/>
      </c>
      <c r="J16" s="13">
        <f>IF(J14&gt;J15,J14-J15,"")</f>
        <v/>
      </c>
      <c r="K16" s="13">
        <f>IF(K14&gt;K15,K14-K15,"")</f>
        <v/>
      </c>
      <c r="L16" s="13">
        <f>IF(L14&gt;L15,L14-L15,"")</f>
        <v/>
      </c>
      <c r="M16" s="13">
        <f>IF(M14&gt;M15,M14-M15,"")</f>
        <v/>
      </c>
      <c r="N16" s="13">
        <f>IF(N14&gt;N15,N14-N15,"")</f>
        <v/>
      </c>
      <c r="O16" s="13">
        <f>IF(O14&gt;O15,O14-O15,"")</f>
        <v/>
      </c>
      <c r="P16" s="13">
        <f>IF(P14&gt;P15,P14-P15,"")</f>
        <v/>
      </c>
      <c r="Q16" s="13">
        <f>IF(Q14&gt;Q15,Q14-Q15,"")</f>
        <v/>
      </c>
      <c r="R16" s="13">
        <f>IF(R14&gt;R15,R14-R15,"")</f>
        <v/>
      </c>
      <c r="S16" s="13">
        <f>IF(S14&gt;S15,S14-S15,"")</f>
        <v/>
      </c>
      <c r="T16" s="13">
        <f>IF(T14&gt;T15,T14-T15,"")</f>
        <v/>
      </c>
      <c r="U16" s="13">
        <f>IF(U14&gt;U15,U14-U15,"")</f>
        <v/>
      </c>
      <c r="V16" s="13">
        <f>IF(V14&gt;V15,V14-V15,"")</f>
        <v/>
      </c>
      <c r="W16" s="13">
        <f>IF(W14&gt;W15,W14-W15,"")</f>
        <v/>
      </c>
      <c r="X16" s="13">
        <f>IF(X14&gt;X15,X14-X15,"")</f>
        <v/>
      </c>
      <c r="Y16" s="13">
        <f>IF(Y14&gt;Y15,Y14-Y15,"")</f>
        <v/>
      </c>
      <c r="Z16" s="13">
        <f>IF(Z14&gt;Z15,Z14-Z15,"")</f>
        <v/>
      </c>
      <c r="AA16" s="13">
        <f>IF(AA14&gt;AA15,AA14-AA15,"")</f>
        <v/>
      </c>
      <c r="AB16" s="13">
        <f>IF(AB14&gt;AB15,AB14-AB15,"")</f>
        <v/>
      </c>
      <c r="AC16" s="13">
        <f>IF(AC14&gt;AC15,AC14-AC15,"")</f>
        <v/>
      </c>
      <c r="AD16" s="13">
        <f>IF(AD14&gt;AD15,AD14-AD15,"")</f>
        <v/>
      </c>
      <c r="AE16" s="13">
        <f>IF(AE14&gt;AE15,AE14-AE15,"")</f>
        <v/>
      </c>
      <c r="AF16" s="13">
        <f>IF(AF14&gt;AF15,AF14-AF15,"")</f>
        <v/>
      </c>
      <c r="AG16" s="13">
        <f>IF(AG14&gt;AG15,AG14-AG15,"")</f>
        <v/>
      </c>
      <c r="AH16" s="13">
        <f>IF(AH14&gt;AH15,AH14-AH15,"")</f>
        <v/>
      </c>
      <c r="AI16" s="13">
        <f>IF(AI14&gt;AI15,AI14-AI15,"")</f>
        <v/>
      </c>
      <c r="AJ16" s="13">
        <f>IF(AJ14&gt;AJ15,AJ14-AJ15,"")</f>
        <v/>
      </c>
      <c r="AK16" s="13">
        <f>IF(AK14&gt;AK15,AK14-AK15,"")</f>
        <v/>
      </c>
      <c r="AL16" s="13">
        <f>IF(AL14&gt;AL15,AL14-AL15,"")</f>
        <v/>
      </c>
      <c r="AM16" s="13">
        <f>IF(AM14&gt;AM15,AM14-AM15,"")</f>
        <v/>
      </c>
      <c r="AN16" s="13">
        <f>IF(AN14&gt;AN15,AN14-AN15,"")</f>
        <v/>
      </c>
      <c r="AO16" s="13">
        <f>IF(AO14&gt;AO15,AO14-AO15,"")</f>
        <v/>
      </c>
      <c r="AP16" s="13">
        <f>IF(AP14&gt;AP15,AP14-AP15,"")</f>
        <v/>
      </c>
      <c r="AQ16" s="13">
        <f>IF(AQ14&gt;AQ15,AQ14-AQ15,"")</f>
        <v/>
      </c>
      <c r="AR16" s="13">
        <f>IF(AR14&gt;AR15,AR14-AR15,"")</f>
        <v/>
      </c>
      <c r="AS16" s="13">
        <f>IF(AS14&gt;AS15,AS14-AS15,"")</f>
        <v/>
      </c>
    </row>
    <row r="18">
      <c r="A18" s="8" t="inlineStr">
        <is>
          <t>Project finish (max Finish)</t>
        </is>
      </c>
      <c r="E18" s="14">
        <f>MAX(E5:E13)</f>
        <v/>
      </c>
    </row>
    <row r="19">
      <c r="A19" s="8" t="inlineStr">
        <is>
          <t>Peak load</t>
        </is>
      </c>
      <c r="E19" s="14">
        <f>MAX(F14:AS14)</f>
        <v/>
      </c>
    </row>
    <row r="20">
      <c r="A20" s="8" t="inlineStr">
        <is>
          <t>Days over the limit</t>
        </is>
      </c>
      <c r="E20" s="14">
        <f>COUNTIF(F16:AS16,"&gt;0")</f>
        <v/>
      </c>
    </row>
    <row r="22">
      <c r="A22" s="2" t="inlineStr">
        <is>
          <t>Enter each activity's start day (0 = project start). The grid shows the coordinators it uses on each day, the Load row sums them, and Over by flags any day above the limit.</t>
        </is>
      </c>
    </row>
  </sheetData>
  <mergeCells count="3">
    <mergeCell ref="A18:D18"/>
    <mergeCell ref="A20:D20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7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</cols>
  <sheetData>
    <row r="1">
      <c r="A1" s="1" t="inlineStr">
        <is>
          <t>Levelled to two coordinators</t>
        </is>
      </c>
    </row>
    <row r="2">
      <c r="A2" s="2" t="inlineStr">
        <is>
          <t>Same method, two coordinators. Then compare your finish with the optimum from Part 3.</t>
        </is>
      </c>
    </row>
    <row r="4" ht="30" customHeight="1">
      <c r="A4" s="3" t="inlineStr">
        <is>
          <t>ID</t>
        </is>
      </c>
      <c r="B4" s="3" t="inlineStr">
        <is>
          <t>Coord.</t>
        </is>
      </c>
      <c r="C4" s="3" t="inlineStr">
        <is>
          <t>Dur.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1</t>
        </is>
      </c>
      <c r="G4" s="3" t="inlineStr">
        <is>
          <t>2</t>
        </is>
      </c>
      <c r="H4" s="3" t="inlineStr">
        <is>
          <t>3</t>
        </is>
      </c>
      <c r="I4" s="3" t="inlineStr">
        <is>
          <t>4</t>
        </is>
      </c>
      <c r="J4" s="3" t="inlineStr">
        <is>
          <t>5</t>
        </is>
      </c>
      <c r="K4" s="3" t="inlineStr">
        <is>
          <t>6</t>
        </is>
      </c>
      <c r="L4" s="3" t="inlineStr">
        <is>
          <t>7</t>
        </is>
      </c>
      <c r="M4" s="3" t="inlineStr">
        <is>
          <t>8</t>
        </is>
      </c>
      <c r="N4" s="3" t="inlineStr">
        <is>
          <t>9</t>
        </is>
      </c>
      <c r="O4" s="3" t="inlineStr">
        <is>
          <t>10</t>
        </is>
      </c>
      <c r="P4" s="3" t="inlineStr">
        <is>
          <t>11</t>
        </is>
      </c>
      <c r="Q4" s="3" t="inlineStr">
        <is>
          <t>12</t>
        </is>
      </c>
      <c r="R4" s="3" t="inlineStr">
        <is>
          <t>13</t>
        </is>
      </c>
      <c r="S4" s="3" t="inlineStr">
        <is>
          <t>14</t>
        </is>
      </c>
      <c r="T4" s="3" t="inlineStr">
        <is>
          <t>15</t>
        </is>
      </c>
      <c r="U4" s="3" t="inlineStr">
        <is>
          <t>16</t>
        </is>
      </c>
      <c r="V4" s="3" t="inlineStr">
        <is>
          <t>17</t>
        </is>
      </c>
      <c r="W4" s="3" t="inlineStr">
        <is>
          <t>18</t>
        </is>
      </c>
      <c r="X4" s="3" t="inlineStr">
        <is>
          <t>19</t>
        </is>
      </c>
      <c r="Y4" s="3" t="inlineStr">
        <is>
          <t>20</t>
        </is>
      </c>
      <c r="Z4" s="3" t="inlineStr">
        <is>
          <t>21</t>
        </is>
      </c>
      <c r="AA4" s="3" t="inlineStr">
        <is>
          <t>22</t>
        </is>
      </c>
      <c r="AB4" s="3" t="inlineStr">
        <is>
          <t>23</t>
        </is>
      </c>
      <c r="AC4" s="3" t="inlineStr">
        <is>
          <t>24</t>
        </is>
      </c>
      <c r="AD4" s="3" t="inlineStr">
        <is>
          <t>25</t>
        </is>
      </c>
      <c r="AE4" s="3" t="inlineStr">
        <is>
          <t>26</t>
        </is>
      </c>
      <c r="AF4" s="3" t="inlineStr">
        <is>
          <t>27</t>
        </is>
      </c>
      <c r="AG4" s="3" t="inlineStr">
        <is>
          <t>28</t>
        </is>
      </c>
      <c r="AH4" s="3" t="inlineStr">
        <is>
          <t>29</t>
        </is>
      </c>
      <c r="AI4" s="3" t="inlineStr">
        <is>
          <t>30</t>
        </is>
      </c>
      <c r="AJ4" s="3" t="inlineStr">
        <is>
          <t>31</t>
        </is>
      </c>
      <c r="AK4" s="3" t="inlineStr">
        <is>
          <t>32</t>
        </is>
      </c>
      <c r="AL4" s="3" t="inlineStr">
        <is>
          <t>33</t>
        </is>
      </c>
      <c r="AM4" s="3" t="inlineStr">
        <is>
          <t>34</t>
        </is>
      </c>
      <c r="AN4" s="3" t="inlineStr">
        <is>
          <t>35</t>
        </is>
      </c>
      <c r="AO4" s="3" t="inlineStr">
        <is>
          <t>36</t>
        </is>
      </c>
      <c r="AP4" s="3" t="inlineStr">
        <is>
          <t>37</t>
        </is>
      </c>
      <c r="AQ4" s="3" t="inlineStr">
        <is>
          <t>38</t>
        </is>
      </c>
      <c r="AR4" s="3" t="inlineStr">
        <is>
          <t>39</t>
        </is>
      </c>
      <c r="AS4" s="3" t="inlineStr">
        <is>
          <t>40</t>
        </is>
      </c>
    </row>
    <row r="5">
      <c r="A5" s="10" t="inlineStr">
        <is>
          <t>A</t>
        </is>
      </c>
      <c r="B5" s="4" t="n">
        <v>1</v>
      </c>
      <c r="C5" s="4" t="n">
        <v>2</v>
      </c>
      <c r="D5" s="7" t="n"/>
      <c r="E5" s="4">
        <f>IF(D5="","",D5+C5)</f>
        <v/>
      </c>
      <c r="F5" s="11">
        <f>IF(D5="","",IF(AND(F$4&gt;D5,F$4&lt;=E5),B5,""))</f>
        <v/>
      </c>
      <c r="G5" s="11">
        <f>IF(D5="","",IF(AND(G$4&gt;D5,G$4&lt;=E5),B5,""))</f>
        <v/>
      </c>
      <c r="H5" s="11">
        <f>IF(D5="","",IF(AND(H$4&gt;D5,H$4&lt;=E5),B5,""))</f>
        <v/>
      </c>
      <c r="I5" s="11">
        <f>IF(D5="","",IF(AND(I$4&gt;D5,I$4&lt;=E5),B5,""))</f>
        <v/>
      </c>
      <c r="J5" s="11">
        <f>IF(D5="","",IF(AND(J$4&gt;D5,J$4&lt;=E5),B5,""))</f>
        <v/>
      </c>
      <c r="K5" s="11">
        <f>IF(D5="","",IF(AND(K$4&gt;D5,K$4&lt;=E5),B5,""))</f>
        <v/>
      </c>
      <c r="L5" s="11">
        <f>IF(D5="","",IF(AND(L$4&gt;D5,L$4&lt;=E5),B5,""))</f>
        <v/>
      </c>
      <c r="M5" s="11">
        <f>IF(D5="","",IF(AND(M$4&gt;D5,M$4&lt;=E5),B5,""))</f>
        <v/>
      </c>
      <c r="N5" s="11">
        <f>IF(D5="","",IF(AND(N$4&gt;D5,N$4&lt;=E5),B5,""))</f>
        <v/>
      </c>
      <c r="O5" s="11">
        <f>IF(D5="","",IF(AND(O$4&gt;D5,O$4&lt;=E5),B5,""))</f>
        <v/>
      </c>
      <c r="P5" s="11">
        <f>IF(D5="","",IF(AND(P$4&gt;D5,P$4&lt;=E5),B5,""))</f>
        <v/>
      </c>
      <c r="Q5" s="11">
        <f>IF(D5="","",IF(AND(Q$4&gt;D5,Q$4&lt;=E5),B5,""))</f>
        <v/>
      </c>
      <c r="R5" s="11">
        <f>IF(D5="","",IF(AND(R$4&gt;D5,R$4&lt;=E5),B5,""))</f>
        <v/>
      </c>
      <c r="S5" s="11">
        <f>IF(D5="","",IF(AND(S$4&gt;D5,S$4&lt;=E5),B5,""))</f>
        <v/>
      </c>
      <c r="T5" s="11">
        <f>IF(D5="","",IF(AND(T$4&gt;D5,T$4&lt;=E5),B5,""))</f>
        <v/>
      </c>
      <c r="U5" s="11">
        <f>IF(D5="","",IF(AND(U$4&gt;D5,U$4&lt;=E5),B5,""))</f>
        <v/>
      </c>
      <c r="V5" s="11">
        <f>IF(D5="","",IF(AND(V$4&gt;D5,V$4&lt;=E5),B5,""))</f>
        <v/>
      </c>
      <c r="W5" s="11">
        <f>IF(D5="","",IF(AND(W$4&gt;D5,W$4&lt;=E5),B5,""))</f>
        <v/>
      </c>
      <c r="X5" s="11">
        <f>IF(D5="","",IF(AND(X$4&gt;D5,X$4&lt;=E5),B5,""))</f>
        <v/>
      </c>
      <c r="Y5" s="11">
        <f>IF(D5="","",IF(AND(Y$4&gt;D5,Y$4&lt;=E5),B5,""))</f>
        <v/>
      </c>
      <c r="Z5" s="11">
        <f>IF(D5="","",IF(AND(Z$4&gt;D5,Z$4&lt;=E5),B5,""))</f>
        <v/>
      </c>
      <c r="AA5" s="11">
        <f>IF(D5="","",IF(AND(AA$4&gt;D5,AA$4&lt;=E5),B5,""))</f>
        <v/>
      </c>
      <c r="AB5" s="11">
        <f>IF(D5="","",IF(AND(AB$4&gt;D5,AB$4&lt;=E5),B5,""))</f>
        <v/>
      </c>
      <c r="AC5" s="11">
        <f>IF(D5="","",IF(AND(AC$4&gt;D5,AC$4&lt;=E5),B5,""))</f>
        <v/>
      </c>
      <c r="AD5" s="11">
        <f>IF(D5="","",IF(AND(AD$4&gt;D5,AD$4&lt;=E5),B5,""))</f>
        <v/>
      </c>
      <c r="AE5" s="11">
        <f>IF(D5="","",IF(AND(AE$4&gt;D5,AE$4&lt;=E5),B5,""))</f>
        <v/>
      </c>
      <c r="AF5" s="11">
        <f>IF(D5="","",IF(AND(AF$4&gt;D5,AF$4&lt;=E5),B5,""))</f>
        <v/>
      </c>
      <c r="AG5" s="11">
        <f>IF(D5="","",IF(AND(AG$4&gt;D5,AG$4&lt;=E5),B5,""))</f>
        <v/>
      </c>
      <c r="AH5" s="11">
        <f>IF(D5="","",IF(AND(AH$4&gt;D5,AH$4&lt;=E5),B5,""))</f>
        <v/>
      </c>
      <c r="AI5" s="11">
        <f>IF(D5="","",IF(AND(AI$4&gt;D5,AI$4&lt;=E5),B5,""))</f>
        <v/>
      </c>
      <c r="AJ5" s="11">
        <f>IF(D5="","",IF(AND(AJ$4&gt;D5,AJ$4&lt;=E5),B5,""))</f>
        <v/>
      </c>
      <c r="AK5" s="11">
        <f>IF(D5="","",IF(AND(AK$4&gt;D5,AK$4&lt;=E5),B5,""))</f>
        <v/>
      </c>
      <c r="AL5" s="11">
        <f>IF(D5="","",IF(AND(AL$4&gt;D5,AL$4&lt;=E5),B5,""))</f>
        <v/>
      </c>
      <c r="AM5" s="11">
        <f>IF(D5="","",IF(AND(AM$4&gt;D5,AM$4&lt;=E5),B5,""))</f>
        <v/>
      </c>
      <c r="AN5" s="11">
        <f>IF(D5="","",IF(AND(AN$4&gt;D5,AN$4&lt;=E5),B5,""))</f>
        <v/>
      </c>
      <c r="AO5" s="11">
        <f>IF(D5="","",IF(AND(AO$4&gt;D5,AO$4&lt;=E5),B5,""))</f>
        <v/>
      </c>
      <c r="AP5" s="11">
        <f>IF(D5="","",IF(AND(AP$4&gt;D5,AP$4&lt;=E5),B5,""))</f>
        <v/>
      </c>
      <c r="AQ5" s="11">
        <f>IF(D5="","",IF(AND(AQ$4&gt;D5,AQ$4&lt;=E5),B5,""))</f>
        <v/>
      </c>
      <c r="AR5" s="11">
        <f>IF(D5="","",IF(AND(AR$4&gt;D5,AR$4&lt;=E5),B5,""))</f>
        <v/>
      </c>
      <c r="AS5" s="11">
        <f>IF(D5="","",IF(AND(AS$4&gt;D5,AS$4&lt;=E5),B5,""))</f>
        <v/>
      </c>
    </row>
    <row r="6">
      <c r="A6" s="10" t="inlineStr">
        <is>
          <t>B</t>
        </is>
      </c>
      <c r="B6" s="4" t="n">
        <v>2</v>
      </c>
      <c r="C6" s="4" t="n">
        <v>5</v>
      </c>
      <c r="D6" s="7" t="n"/>
      <c r="E6" s="4">
        <f>IF(D6="","",D6+C6)</f>
        <v/>
      </c>
      <c r="F6" s="11">
        <f>IF(D6="","",IF(AND(F$4&gt;D6,F$4&lt;=E6),B6,""))</f>
        <v/>
      </c>
      <c r="G6" s="11">
        <f>IF(D6="","",IF(AND(G$4&gt;D6,G$4&lt;=E6),B6,""))</f>
        <v/>
      </c>
      <c r="H6" s="11">
        <f>IF(D6="","",IF(AND(H$4&gt;D6,H$4&lt;=E6),B6,""))</f>
        <v/>
      </c>
      <c r="I6" s="11">
        <f>IF(D6="","",IF(AND(I$4&gt;D6,I$4&lt;=E6),B6,""))</f>
        <v/>
      </c>
      <c r="J6" s="11">
        <f>IF(D6="","",IF(AND(J$4&gt;D6,J$4&lt;=E6),B6,""))</f>
        <v/>
      </c>
      <c r="K6" s="11">
        <f>IF(D6="","",IF(AND(K$4&gt;D6,K$4&lt;=E6),B6,""))</f>
        <v/>
      </c>
      <c r="L6" s="11">
        <f>IF(D6="","",IF(AND(L$4&gt;D6,L$4&lt;=E6),B6,""))</f>
        <v/>
      </c>
      <c r="M6" s="11">
        <f>IF(D6="","",IF(AND(M$4&gt;D6,M$4&lt;=E6),B6,""))</f>
        <v/>
      </c>
      <c r="N6" s="11">
        <f>IF(D6="","",IF(AND(N$4&gt;D6,N$4&lt;=E6),B6,""))</f>
        <v/>
      </c>
      <c r="O6" s="11">
        <f>IF(D6="","",IF(AND(O$4&gt;D6,O$4&lt;=E6),B6,""))</f>
        <v/>
      </c>
      <c r="P6" s="11">
        <f>IF(D6="","",IF(AND(P$4&gt;D6,P$4&lt;=E6),B6,""))</f>
        <v/>
      </c>
      <c r="Q6" s="11">
        <f>IF(D6="","",IF(AND(Q$4&gt;D6,Q$4&lt;=E6),B6,""))</f>
        <v/>
      </c>
      <c r="R6" s="11">
        <f>IF(D6="","",IF(AND(R$4&gt;D6,R$4&lt;=E6),B6,""))</f>
        <v/>
      </c>
      <c r="S6" s="11">
        <f>IF(D6="","",IF(AND(S$4&gt;D6,S$4&lt;=E6),B6,""))</f>
        <v/>
      </c>
      <c r="T6" s="11">
        <f>IF(D6="","",IF(AND(T$4&gt;D6,T$4&lt;=E6),B6,""))</f>
        <v/>
      </c>
      <c r="U6" s="11">
        <f>IF(D6="","",IF(AND(U$4&gt;D6,U$4&lt;=E6),B6,""))</f>
        <v/>
      </c>
      <c r="V6" s="11">
        <f>IF(D6="","",IF(AND(V$4&gt;D6,V$4&lt;=E6),B6,""))</f>
        <v/>
      </c>
      <c r="W6" s="11">
        <f>IF(D6="","",IF(AND(W$4&gt;D6,W$4&lt;=E6),B6,""))</f>
        <v/>
      </c>
      <c r="X6" s="11">
        <f>IF(D6="","",IF(AND(X$4&gt;D6,X$4&lt;=E6),B6,""))</f>
        <v/>
      </c>
      <c r="Y6" s="11">
        <f>IF(D6="","",IF(AND(Y$4&gt;D6,Y$4&lt;=E6),B6,""))</f>
        <v/>
      </c>
      <c r="Z6" s="11">
        <f>IF(D6="","",IF(AND(Z$4&gt;D6,Z$4&lt;=E6),B6,""))</f>
        <v/>
      </c>
      <c r="AA6" s="11">
        <f>IF(D6="","",IF(AND(AA$4&gt;D6,AA$4&lt;=E6),B6,""))</f>
        <v/>
      </c>
      <c r="AB6" s="11">
        <f>IF(D6="","",IF(AND(AB$4&gt;D6,AB$4&lt;=E6),B6,""))</f>
        <v/>
      </c>
      <c r="AC6" s="11">
        <f>IF(D6="","",IF(AND(AC$4&gt;D6,AC$4&lt;=E6),B6,""))</f>
        <v/>
      </c>
      <c r="AD6" s="11">
        <f>IF(D6="","",IF(AND(AD$4&gt;D6,AD$4&lt;=E6),B6,""))</f>
        <v/>
      </c>
      <c r="AE6" s="11">
        <f>IF(D6="","",IF(AND(AE$4&gt;D6,AE$4&lt;=E6),B6,""))</f>
        <v/>
      </c>
      <c r="AF6" s="11">
        <f>IF(D6="","",IF(AND(AF$4&gt;D6,AF$4&lt;=E6),B6,""))</f>
        <v/>
      </c>
      <c r="AG6" s="11">
        <f>IF(D6="","",IF(AND(AG$4&gt;D6,AG$4&lt;=E6),B6,""))</f>
        <v/>
      </c>
      <c r="AH6" s="11">
        <f>IF(D6="","",IF(AND(AH$4&gt;D6,AH$4&lt;=E6),B6,""))</f>
        <v/>
      </c>
      <c r="AI6" s="11">
        <f>IF(D6="","",IF(AND(AI$4&gt;D6,AI$4&lt;=E6),B6,""))</f>
        <v/>
      </c>
      <c r="AJ6" s="11">
        <f>IF(D6="","",IF(AND(AJ$4&gt;D6,AJ$4&lt;=E6),B6,""))</f>
        <v/>
      </c>
      <c r="AK6" s="11">
        <f>IF(D6="","",IF(AND(AK$4&gt;D6,AK$4&lt;=E6),B6,""))</f>
        <v/>
      </c>
      <c r="AL6" s="11">
        <f>IF(D6="","",IF(AND(AL$4&gt;D6,AL$4&lt;=E6),B6,""))</f>
        <v/>
      </c>
      <c r="AM6" s="11">
        <f>IF(D6="","",IF(AND(AM$4&gt;D6,AM$4&lt;=E6),B6,""))</f>
        <v/>
      </c>
      <c r="AN6" s="11">
        <f>IF(D6="","",IF(AND(AN$4&gt;D6,AN$4&lt;=E6),B6,""))</f>
        <v/>
      </c>
      <c r="AO6" s="11">
        <f>IF(D6="","",IF(AND(AO$4&gt;D6,AO$4&lt;=E6),B6,""))</f>
        <v/>
      </c>
      <c r="AP6" s="11">
        <f>IF(D6="","",IF(AND(AP$4&gt;D6,AP$4&lt;=E6),B6,""))</f>
        <v/>
      </c>
      <c r="AQ6" s="11">
        <f>IF(D6="","",IF(AND(AQ$4&gt;D6,AQ$4&lt;=E6),B6,""))</f>
        <v/>
      </c>
      <c r="AR6" s="11">
        <f>IF(D6="","",IF(AND(AR$4&gt;D6,AR$4&lt;=E6),B6,""))</f>
        <v/>
      </c>
      <c r="AS6" s="11">
        <f>IF(D6="","",IF(AND(AS$4&gt;D6,AS$4&lt;=E6),B6,""))</f>
        <v/>
      </c>
    </row>
    <row r="7">
      <c r="A7" s="10" t="inlineStr">
        <is>
          <t>C</t>
        </is>
      </c>
      <c r="B7" s="4" t="n">
        <v>1</v>
      </c>
      <c r="C7" s="4" t="n">
        <v>6</v>
      </c>
      <c r="D7" s="7" t="n"/>
      <c r="E7" s="4">
        <f>IF(D7="","",D7+C7)</f>
        <v/>
      </c>
      <c r="F7" s="11">
        <f>IF(D7="","",IF(AND(F$4&gt;D7,F$4&lt;=E7),B7,""))</f>
        <v/>
      </c>
      <c r="G7" s="11">
        <f>IF(D7="","",IF(AND(G$4&gt;D7,G$4&lt;=E7),B7,""))</f>
        <v/>
      </c>
      <c r="H7" s="11">
        <f>IF(D7="","",IF(AND(H$4&gt;D7,H$4&lt;=E7),B7,""))</f>
        <v/>
      </c>
      <c r="I7" s="11">
        <f>IF(D7="","",IF(AND(I$4&gt;D7,I$4&lt;=E7),B7,""))</f>
        <v/>
      </c>
      <c r="J7" s="11">
        <f>IF(D7="","",IF(AND(J$4&gt;D7,J$4&lt;=E7),B7,""))</f>
        <v/>
      </c>
      <c r="K7" s="11">
        <f>IF(D7="","",IF(AND(K$4&gt;D7,K$4&lt;=E7),B7,""))</f>
        <v/>
      </c>
      <c r="L7" s="11">
        <f>IF(D7="","",IF(AND(L$4&gt;D7,L$4&lt;=E7),B7,""))</f>
        <v/>
      </c>
      <c r="M7" s="11">
        <f>IF(D7="","",IF(AND(M$4&gt;D7,M$4&lt;=E7),B7,""))</f>
        <v/>
      </c>
      <c r="N7" s="11">
        <f>IF(D7="","",IF(AND(N$4&gt;D7,N$4&lt;=E7),B7,""))</f>
        <v/>
      </c>
      <c r="O7" s="11">
        <f>IF(D7="","",IF(AND(O$4&gt;D7,O$4&lt;=E7),B7,""))</f>
        <v/>
      </c>
      <c r="P7" s="11">
        <f>IF(D7="","",IF(AND(P$4&gt;D7,P$4&lt;=E7),B7,""))</f>
        <v/>
      </c>
      <c r="Q7" s="11">
        <f>IF(D7="","",IF(AND(Q$4&gt;D7,Q$4&lt;=E7),B7,""))</f>
        <v/>
      </c>
      <c r="R7" s="11">
        <f>IF(D7="","",IF(AND(R$4&gt;D7,R$4&lt;=E7),B7,""))</f>
        <v/>
      </c>
      <c r="S7" s="11">
        <f>IF(D7="","",IF(AND(S$4&gt;D7,S$4&lt;=E7),B7,""))</f>
        <v/>
      </c>
      <c r="T7" s="11">
        <f>IF(D7="","",IF(AND(T$4&gt;D7,T$4&lt;=E7),B7,""))</f>
        <v/>
      </c>
      <c r="U7" s="11">
        <f>IF(D7="","",IF(AND(U$4&gt;D7,U$4&lt;=E7),B7,""))</f>
        <v/>
      </c>
      <c r="V7" s="11">
        <f>IF(D7="","",IF(AND(V$4&gt;D7,V$4&lt;=E7),B7,""))</f>
        <v/>
      </c>
      <c r="W7" s="11">
        <f>IF(D7="","",IF(AND(W$4&gt;D7,W$4&lt;=E7),B7,""))</f>
        <v/>
      </c>
      <c r="X7" s="11">
        <f>IF(D7="","",IF(AND(X$4&gt;D7,X$4&lt;=E7),B7,""))</f>
        <v/>
      </c>
      <c r="Y7" s="11">
        <f>IF(D7="","",IF(AND(Y$4&gt;D7,Y$4&lt;=E7),B7,""))</f>
        <v/>
      </c>
      <c r="Z7" s="11">
        <f>IF(D7="","",IF(AND(Z$4&gt;D7,Z$4&lt;=E7),B7,""))</f>
        <v/>
      </c>
      <c r="AA7" s="11">
        <f>IF(D7="","",IF(AND(AA$4&gt;D7,AA$4&lt;=E7),B7,""))</f>
        <v/>
      </c>
      <c r="AB7" s="11">
        <f>IF(D7="","",IF(AND(AB$4&gt;D7,AB$4&lt;=E7),B7,""))</f>
        <v/>
      </c>
      <c r="AC7" s="11">
        <f>IF(D7="","",IF(AND(AC$4&gt;D7,AC$4&lt;=E7),B7,""))</f>
        <v/>
      </c>
      <c r="AD7" s="11">
        <f>IF(D7="","",IF(AND(AD$4&gt;D7,AD$4&lt;=E7),B7,""))</f>
        <v/>
      </c>
      <c r="AE7" s="11">
        <f>IF(D7="","",IF(AND(AE$4&gt;D7,AE$4&lt;=E7),B7,""))</f>
        <v/>
      </c>
      <c r="AF7" s="11">
        <f>IF(D7="","",IF(AND(AF$4&gt;D7,AF$4&lt;=E7),B7,""))</f>
        <v/>
      </c>
      <c r="AG7" s="11">
        <f>IF(D7="","",IF(AND(AG$4&gt;D7,AG$4&lt;=E7),B7,""))</f>
        <v/>
      </c>
      <c r="AH7" s="11">
        <f>IF(D7="","",IF(AND(AH$4&gt;D7,AH$4&lt;=E7),B7,""))</f>
        <v/>
      </c>
      <c r="AI7" s="11">
        <f>IF(D7="","",IF(AND(AI$4&gt;D7,AI$4&lt;=E7),B7,""))</f>
        <v/>
      </c>
      <c r="AJ7" s="11">
        <f>IF(D7="","",IF(AND(AJ$4&gt;D7,AJ$4&lt;=E7),B7,""))</f>
        <v/>
      </c>
      <c r="AK7" s="11">
        <f>IF(D7="","",IF(AND(AK$4&gt;D7,AK$4&lt;=E7),B7,""))</f>
        <v/>
      </c>
      <c r="AL7" s="11">
        <f>IF(D7="","",IF(AND(AL$4&gt;D7,AL$4&lt;=E7),B7,""))</f>
        <v/>
      </c>
      <c r="AM7" s="11">
        <f>IF(D7="","",IF(AND(AM$4&gt;D7,AM$4&lt;=E7),B7,""))</f>
        <v/>
      </c>
      <c r="AN7" s="11">
        <f>IF(D7="","",IF(AND(AN$4&gt;D7,AN$4&lt;=E7),B7,""))</f>
        <v/>
      </c>
      <c r="AO7" s="11">
        <f>IF(D7="","",IF(AND(AO$4&gt;D7,AO$4&lt;=E7),B7,""))</f>
        <v/>
      </c>
      <c r="AP7" s="11">
        <f>IF(D7="","",IF(AND(AP$4&gt;D7,AP$4&lt;=E7),B7,""))</f>
        <v/>
      </c>
      <c r="AQ7" s="11">
        <f>IF(D7="","",IF(AND(AQ$4&gt;D7,AQ$4&lt;=E7),B7,""))</f>
        <v/>
      </c>
      <c r="AR7" s="11">
        <f>IF(D7="","",IF(AND(AR$4&gt;D7,AR$4&lt;=E7),B7,""))</f>
        <v/>
      </c>
      <c r="AS7" s="11">
        <f>IF(D7="","",IF(AND(AS$4&gt;D7,AS$4&lt;=E7),B7,""))</f>
        <v/>
      </c>
    </row>
    <row r="8">
      <c r="A8" s="10" t="inlineStr">
        <is>
          <t>D</t>
        </is>
      </c>
      <c r="B8" s="4" t="n">
        <v>1</v>
      </c>
      <c r="C8" s="4" t="n">
        <v>4</v>
      </c>
      <c r="D8" s="7" t="n"/>
      <c r="E8" s="4">
        <f>IF(D8="","",D8+C8)</f>
        <v/>
      </c>
      <c r="F8" s="11">
        <f>IF(D8="","",IF(AND(F$4&gt;D8,F$4&lt;=E8),B8,""))</f>
        <v/>
      </c>
      <c r="G8" s="11">
        <f>IF(D8="","",IF(AND(G$4&gt;D8,G$4&lt;=E8),B8,""))</f>
        <v/>
      </c>
      <c r="H8" s="11">
        <f>IF(D8="","",IF(AND(H$4&gt;D8,H$4&lt;=E8),B8,""))</f>
        <v/>
      </c>
      <c r="I8" s="11">
        <f>IF(D8="","",IF(AND(I$4&gt;D8,I$4&lt;=E8),B8,""))</f>
        <v/>
      </c>
      <c r="J8" s="11">
        <f>IF(D8="","",IF(AND(J$4&gt;D8,J$4&lt;=E8),B8,""))</f>
        <v/>
      </c>
      <c r="K8" s="11">
        <f>IF(D8="","",IF(AND(K$4&gt;D8,K$4&lt;=E8),B8,""))</f>
        <v/>
      </c>
      <c r="L8" s="11">
        <f>IF(D8="","",IF(AND(L$4&gt;D8,L$4&lt;=E8),B8,""))</f>
        <v/>
      </c>
      <c r="M8" s="11">
        <f>IF(D8="","",IF(AND(M$4&gt;D8,M$4&lt;=E8),B8,""))</f>
        <v/>
      </c>
      <c r="N8" s="11">
        <f>IF(D8="","",IF(AND(N$4&gt;D8,N$4&lt;=E8),B8,""))</f>
        <v/>
      </c>
      <c r="O8" s="11">
        <f>IF(D8="","",IF(AND(O$4&gt;D8,O$4&lt;=E8),B8,""))</f>
        <v/>
      </c>
      <c r="P8" s="11">
        <f>IF(D8="","",IF(AND(P$4&gt;D8,P$4&lt;=E8),B8,""))</f>
        <v/>
      </c>
      <c r="Q8" s="11">
        <f>IF(D8="","",IF(AND(Q$4&gt;D8,Q$4&lt;=E8),B8,""))</f>
        <v/>
      </c>
      <c r="R8" s="11">
        <f>IF(D8="","",IF(AND(R$4&gt;D8,R$4&lt;=E8),B8,""))</f>
        <v/>
      </c>
      <c r="S8" s="11">
        <f>IF(D8="","",IF(AND(S$4&gt;D8,S$4&lt;=E8),B8,""))</f>
        <v/>
      </c>
      <c r="T8" s="11">
        <f>IF(D8="","",IF(AND(T$4&gt;D8,T$4&lt;=E8),B8,""))</f>
        <v/>
      </c>
      <c r="U8" s="11">
        <f>IF(D8="","",IF(AND(U$4&gt;D8,U$4&lt;=E8),B8,""))</f>
        <v/>
      </c>
      <c r="V8" s="11">
        <f>IF(D8="","",IF(AND(V$4&gt;D8,V$4&lt;=E8),B8,""))</f>
        <v/>
      </c>
      <c r="W8" s="11">
        <f>IF(D8="","",IF(AND(W$4&gt;D8,W$4&lt;=E8),B8,""))</f>
        <v/>
      </c>
      <c r="X8" s="11">
        <f>IF(D8="","",IF(AND(X$4&gt;D8,X$4&lt;=E8),B8,""))</f>
        <v/>
      </c>
      <c r="Y8" s="11">
        <f>IF(D8="","",IF(AND(Y$4&gt;D8,Y$4&lt;=E8),B8,""))</f>
        <v/>
      </c>
      <c r="Z8" s="11">
        <f>IF(D8="","",IF(AND(Z$4&gt;D8,Z$4&lt;=E8),B8,""))</f>
        <v/>
      </c>
      <c r="AA8" s="11">
        <f>IF(D8="","",IF(AND(AA$4&gt;D8,AA$4&lt;=E8),B8,""))</f>
        <v/>
      </c>
      <c r="AB8" s="11">
        <f>IF(D8="","",IF(AND(AB$4&gt;D8,AB$4&lt;=E8),B8,""))</f>
        <v/>
      </c>
      <c r="AC8" s="11">
        <f>IF(D8="","",IF(AND(AC$4&gt;D8,AC$4&lt;=E8),B8,""))</f>
        <v/>
      </c>
      <c r="AD8" s="11">
        <f>IF(D8="","",IF(AND(AD$4&gt;D8,AD$4&lt;=E8),B8,""))</f>
        <v/>
      </c>
      <c r="AE8" s="11">
        <f>IF(D8="","",IF(AND(AE$4&gt;D8,AE$4&lt;=E8),B8,""))</f>
        <v/>
      </c>
      <c r="AF8" s="11">
        <f>IF(D8="","",IF(AND(AF$4&gt;D8,AF$4&lt;=E8),B8,""))</f>
        <v/>
      </c>
      <c r="AG8" s="11">
        <f>IF(D8="","",IF(AND(AG$4&gt;D8,AG$4&lt;=E8),B8,""))</f>
        <v/>
      </c>
      <c r="AH8" s="11">
        <f>IF(D8="","",IF(AND(AH$4&gt;D8,AH$4&lt;=E8),B8,""))</f>
        <v/>
      </c>
      <c r="AI8" s="11">
        <f>IF(D8="","",IF(AND(AI$4&gt;D8,AI$4&lt;=E8),B8,""))</f>
        <v/>
      </c>
      <c r="AJ8" s="11">
        <f>IF(D8="","",IF(AND(AJ$4&gt;D8,AJ$4&lt;=E8),B8,""))</f>
        <v/>
      </c>
      <c r="AK8" s="11">
        <f>IF(D8="","",IF(AND(AK$4&gt;D8,AK$4&lt;=E8),B8,""))</f>
        <v/>
      </c>
      <c r="AL8" s="11">
        <f>IF(D8="","",IF(AND(AL$4&gt;D8,AL$4&lt;=E8),B8,""))</f>
        <v/>
      </c>
      <c r="AM8" s="11">
        <f>IF(D8="","",IF(AND(AM$4&gt;D8,AM$4&lt;=E8),B8,""))</f>
        <v/>
      </c>
      <c r="AN8" s="11">
        <f>IF(D8="","",IF(AND(AN$4&gt;D8,AN$4&lt;=E8),B8,""))</f>
        <v/>
      </c>
      <c r="AO8" s="11">
        <f>IF(D8="","",IF(AND(AO$4&gt;D8,AO$4&lt;=E8),B8,""))</f>
        <v/>
      </c>
      <c r="AP8" s="11">
        <f>IF(D8="","",IF(AND(AP$4&gt;D8,AP$4&lt;=E8),B8,""))</f>
        <v/>
      </c>
      <c r="AQ8" s="11">
        <f>IF(D8="","",IF(AND(AQ$4&gt;D8,AQ$4&lt;=E8),B8,""))</f>
        <v/>
      </c>
      <c r="AR8" s="11">
        <f>IF(D8="","",IF(AND(AR$4&gt;D8,AR$4&lt;=E8),B8,""))</f>
        <v/>
      </c>
      <c r="AS8" s="11">
        <f>IF(D8="","",IF(AND(AS$4&gt;D8,AS$4&lt;=E8),B8,""))</f>
        <v/>
      </c>
    </row>
    <row r="9">
      <c r="A9" s="10" t="inlineStr">
        <is>
          <t>E</t>
        </is>
      </c>
      <c r="B9" s="4" t="n">
        <v>2</v>
      </c>
      <c r="C9" s="4" t="n">
        <v>8</v>
      </c>
      <c r="D9" s="7" t="n"/>
      <c r="E9" s="4">
        <f>IF(D9="","",D9+C9)</f>
        <v/>
      </c>
      <c r="F9" s="11">
        <f>IF(D9="","",IF(AND(F$4&gt;D9,F$4&lt;=E9),B9,""))</f>
        <v/>
      </c>
      <c r="G9" s="11">
        <f>IF(D9="","",IF(AND(G$4&gt;D9,G$4&lt;=E9),B9,""))</f>
        <v/>
      </c>
      <c r="H9" s="11">
        <f>IF(D9="","",IF(AND(H$4&gt;D9,H$4&lt;=E9),B9,""))</f>
        <v/>
      </c>
      <c r="I9" s="11">
        <f>IF(D9="","",IF(AND(I$4&gt;D9,I$4&lt;=E9),B9,""))</f>
        <v/>
      </c>
      <c r="J9" s="11">
        <f>IF(D9="","",IF(AND(J$4&gt;D9,J$4&lt;=E9),B9,""))</f>
        <v/>
      </c>
      <c r="K9" s="11">
        <f>IF(D9="","",IF(AND(K$4&gt;D9,K$4&lt;=E9),B9,""))</f>
        <v/>
      </c>
      <c r="L9" s="11">
        <f>IF(D9="","",IF(AND(L$4&gt;D9,L$4&lt;=E9),B9,""))</f>
        <v/>
      </c>
      <c r="M9" s="11">
        <f>IF(D9="","",IF(AND(M$4&gt;D9,M$4&lt;=E9),B9,""))</f>
        <v/>
      </c>
      <c r="N9" s="11">
        <f>IF(D9="","",IF(AND(N$4&gt;D9,N$4&lt;=E9),B9,""))</f>
        <v/>
      </c>
      <c r="O9" s="11">
        <f>IF(D9="","",IF(AND(O$4&gt;D9,O$4&lt;=E9),B9,""))</f>
        <v/>
      </c>
      <c r="P9" s="11">
        <f>IF(D9="","",IF(AND(P$4&gt;D9,P$4&lt;=E9),B9,""))</f>
        <v/>
      </c>
      <c r="Q9" s="11">
        <f>IF(D9="","",IF(AND(Q$4&gt;D9,Q$4&lt;=E9),B9,""))</f>
        <v/>
      </c>
      <c r="R9" s="11">
        <f>IF(D9="","",IF(AND(R$4&gt;D9,R$4&lt;=E9),B9,""))</f>
        <v/>
      </c>
      <c r="S9" s="11">
        <f>IF(D9="","",IF(AND(S$4&gt;D9,S$4&lt;=E9),B9,""))</f>
        <v/>
      </c>
      <c r="T9" s="11">
        <f>IF(D9="","",IF(AND(T$4&gt;D9,T$4&lt;=E9),B9,""))</f>
        <v/>
      </c>
      <c r="U9" s="11">
        <f>IF(D9="","",IF(AND(U$4&gt;D9,U$4&lt;=E9),B9,""))</f>
        <v/>
      </c>
      <c r="V9" s="11">
        <f>IF(D9="","",IF(AND(V$4&gt;D9,V$4&lt;=E9),B9,""))</f>
        <v/>
      </c>
      <c r="W9" s="11">
        <f>IF(D9="","",IF(AND(W$4&gt;D9,W$4&lt;=E9),B9,""))</f>
        <v/>
      </c>
      <c r="X9" s="11">
        <f>IF(D9="","",IF(AND(X$4&gt;D9,X$4&lt;=E9),B9,""))</f>
        <v/>
      </c>
      <c r="Y9" s="11">
        <f>IF(D9="","",IF(AND(Y$4&gt;D9,Y$4&lt;=E9),B9,""))</f>
        <v/>
      </c>
      <c r="Z9" s="11">
        <f>IF(D9="","",IF(AND(Z$4&gt;D9,Z$4&lt;=E9),B9,""))</f>
        <v/>
      </c>
      <c r="AA9" s="11">
        <f>IF(D9="","",IF(AND(AA$4&gt;D9,AA$4&lt;=E9),B9,""))</f>
        <v/>
      </c>
      <c r="AB9" s="11">
        <f>IF(D9="","",IF(AND(AB$4&gt;D9,AB$4&lt;=E9),B9,""))</f>
        <v/>
      </c>
      <c r="AC9" s="11">
        <f>IF(D9="","",IF(AND(AC$4&gt;D9,AC$4&lt;=E9),B9,""))</f>
        <v/>
      </c>
      <c r="AD9" s="11">
        <f>IF(D9="","",IF(AND(AD$4&gt;D9,AD$4&lt;=E9),B9,""))</f>
        <v/>
      </c>
      <c r="AE9" s="11">
        <f>IF(D9="","",IF(AND(AE$4&gt;D9,AE$4&lt;=E9),B9,""))</f>
        <v/>
      </c>
      <c r="AF9" s="11">
        <f>IF(D9="","",IF(AND(AF$4&gt;D9,AF$4&lt;=E9),B9,""))</f>
        <v/>
      </c>
      <c r="AG9" s="11">
        <f>IF(D9="","",IF(AND(AG$4&gt;D9,AG$4&lt;=E9),B9,""))</f>
        <v/>
      </c>
      <c r="AH9" s="11">
        <f>IF(D9="","",IF(AND(AH$4&gt;D9,AH$4&lt;=E9),B9,""))</f>
        <v/>
      </c>
      <c r="AI9" s="11">
        <f>IF(D9="","",IF(AND(AI$4&gt;D9,AI$4&lt;=E9),B9,""))</f>
        <v/>
      </c>
      <c r="AJ9" s="11">
        <f>IF(D9="","",IF(AND(AJ$4&gt;D9,AJ$4&lt;=E9),B9,""))</f>
        <v/>
      </c>
      <c r="AK9" s="11">
        <f>IF(D9="","",IF(AND(AK$4&gt;D9,AK$4&lt;=E9),B9,""))</f>
        <v/>
      </c>
      <c r="AL9" s="11">
        <f>IF(D9="","",IF(AND(AL$4&gt;D9,AL$4&lt;=E9),B9,""))</f>
        <v/>
      </c>
      <c r="AM9" s="11">
        <f>IF(D9="","",IF(AND(AM$4&gt;D9,AM$4&lt;=E9),B9,""))</f>
        <v/>
      </c>
      <c r="AN9" s="11">
        <f>IF(D9="","",IF(AND(AN$4&gt;D9,AN$4&lt;=E9),B9,""))</f>
        <v/>
      </c>
      <c r="AO9" s="11">
        <f>IF(D9="","",IF(AND(AO$4&gt;D9,AO$4&lt;=E9),B9,""))</f>
        <v/>
      </c>
      <c r="AP9" s="11">
        <f>IF(D9="","",IF(AND(AP$4&gt;D9,AP$4&lt;=E9),B9,""))</f>
        <v/>
      </c>
      <c r="AQ9" s="11">
        <f>IF(D9="","",IF(AND(AQ$4&gt;D9,AQ$4&lt;=E9),B9,""))</f>
        <v/>
      </c>
      <c r="AR9" s="11">
        <f>IF(D9="","",IF(AND(AR$4&gt;D9,AR$4&lt;=E9),B9,""))</f>
        <v/>
      </c>
      <c r="AS9" s="11">
        <f>IF(D9="","",IF(AND(AS$4&gt;D9,AS$4&lt;=E9),B9,""))</f>
        <v/>
      </c>
    </row>
    <row r="10">
      <c r="A10" s="10" t="inlineStr">
        <is>
          <t>F</t>
        </is>
      </c>
      <c r="B10" s="4" t="n">
        <v>2</v>
      </c>
      <c r="C10" s="4" t="n">
        <v>5</v>
      </c>
      <c r="D10" s="7" t="n"/>
      <c r="E10" s="4">
        <f>IF(D10="","",D10+C10)</f>
        <v/>
      </c>
      <c r="F10" s="11">
        <f>IF(D10="","",IF(AND(F$4&gt;D10,F$4&lt;=E10),B10,""))</f>
        <v/>
      </c>
      <c r="G10" s="11">
        <f>IF(D10="","",IF(AND(G$4&gt;D10,G$4&lt;=E10),B10,""))</f>
        <v/>
      </c>
      <c r="H10" s="11">
        <f>IF(D10="","",IF(AND(H$4&gt;D10,H$4&lt;=E10),B10,""))</f>
        <v/>
      </c>
      <c r="I10" s="11">
        <f>IF(D10="","",IF(AND(I$4&gt;D10,I$4&lt;=E10),B10,""))</f>
        <v/>
      </c>
      <c r="J10" s="11">
        <f>IF(D10="","",IF(AND(J$4&gt;D10,J$4&lt;=E10),B10,""))</f>
        <v/>
      </c>
      <c r="K10" s="11">
        <f>IF(D10="","",IF(AND(K$4&gt;D10,K$4&lt;=E10),B10,""))</f>
        <v/>
      </c>
      <c r="L10" s="11">
        <f>IF(D10="","",IF(AND(L$4&gt;D10,L$4&lt;=E10),B10,""))</f>
        <v/>
      </c>
      <c r="M10" s="11">
        <f>IF(D10="","",IF(AND(M$4&gt;D10,M$4&lt;=E10),B10,""))</f>
        <v/>
      </c>
      <c r="N10" s="11">
        <f>IF(D10="","",IF(AND(N$4&gt;D10,N$4&lt;=E10),B10,""))</f>
        <v/>
      </c>
      <c r="O10" s="11">
        <f>IF(D10="","",IF(AND(O$4&gt;D10,O$4&lt;=E10),B10,""))</f>
        <v/>
      </c>
      <c r="P10" s="11">
        <f>IF(D10="","",IF(AND(P$4&gt;D10,P$4&lt;=E10),B10,""))</f>
        <v/>
      </c>
      <c r="Q10" s="11">
        <f>IF(D10="","",IF(AND(Q$4&gt;D10,Q$4&lt;=E10),B10,""))</f>
        <v/>
      </c>
      <c r="R10" s="11">
        <f>IF(D10="","",IF(AND(R$4&gt;D10,R$4&lt;=E10),B10,""))</f>
        <v/>
      </c>
      <c r="S10" s="11">
        <f>IF(D10="","",IF(AND(S$4&gt;D10,S$4&lt;=E10),B10,""))</f>
        <v/>
      </c>
      <c r="T10" s="11">
        <f>IF(D10="","",IF(AND(T$4&gt;D10,T$4&lt;=E10),B10,""))</f>
        <v/>
      </c>
      <c r="U10" s="11">
        <f>IF(D10="","",IF(AND(U$4&gt;D10,U$4&lt;=E10),B10,""))</f>
        <v/>
      </c>
      <c r="V10" s="11">
        <f>IF(D10="","",IF(AND(V$4&gt;D10,V$4&lt;=E10),B10,""))</f>
        <v/>
      </c>
      <c r="W10" s="11">
        <f>IF(D10="","",IF(AND(W$4&gt;D10,W$4&lt;=E10),B10,""))</f>
        <v/>
      </c>
      <c r="X10" s="11">
        <f>IF(D10="","",IF(AND(X$4&gt;D10,X$4&lt;=E10),B10,""))</f>
        <v/>
      </c>
      <c r="Y10" s="11">
        <f>IF(D10="","",IF(AND(Y$4&gt;D10,Y$4&lt;=E10),B10,""))</f>
        <v/>
      </c>
      <c r="Z10" s="11">
        <f>IF(D10="","",IF(AND(Z$4&gt;D10,Z$4&lt;=E10),B10,""))</f>
        <v/>
      </c>
      <c r="AA10" s="11">
        <f>IF(D10="","",IF(AND(AA$4&gt;D10,AA$4&lt;=E10),B10,""))</f>
        <v/>
      </c>
      <c r="AB10" s="11">
        <f>IF(D10="","",IF(AND(AB$4&gt;D10,AB$4&lt;=E10),B10,""))</f>
        <v/>
      </c>
      <c r="AC10" s="11">
        <f>IF(D10="","",IF(AND(AC$4&gt;D10,AC$4&lt;=E10),B10,""))</f>
        <v/>
      </c>
      <c r="AD10" s="11">
        <f>IF(D10="","",IF(AND(AD$4&gt;D10,AD$4&lt;=E10),B10,""))</f>
        <v/>
      </c>
      <c r="AE10" s="11">
        <f>IF(D10="","",IF(AND(AE$4&gt;D10,AE$4&lt;=E10),B10,""))</f>
        <v/>
      </c>
      <c r="AF10" s="11">
        <f>IF(D10="","",IF(AND(AF$4&gt;D10,AF$4&lt;=E10),B10,""))</f>
        <v/>
      </c>
      <c r="AG10" s="11">
        <f>IF(D10="","",IF(AND(AG$4&gt;D10,AG$4&lt;=E10),B10,""))</f>
        <v/>
      </c>
      <c r="AH10" s="11">
        <f>IF(D10="","",IF(AND(AH$4&gt;D10,AH$4&lt;=E10),B10,""))</f>
        <v/>
      </c>
      <c r="AI10" s="11">
        <f>IF(D10="","",IF(AND(AI$4&gt;D10,AI$4&lt;=E10),B10,""))</f>
        <v/>
      </c>
      <c r="AJ10" s="11">
        <f>IF(D10="","",IF(AND(AJ$4&gt;D10,AJ$4&lt;=E10),B10,""))</f>
        <v/>
      </c>
      <c r="AK10" s="11">
        <f>IF(D10="","",IF(AND(AK$4&gt;D10,AK$4&lt;=E10),B10,""))</f>
        <v/>
      </c>
      <c r="AL10" s="11">
        <f>IF(D10="","",IF(AND(AL$4&gt;D10,AL$4&lt;=E10),B10,""))</f>
        <v/>
      </c>
      <c r="AM10" s="11">
        <f>IF(D10="","",IF(AND(AM$4&gt;D10,AM$4&lt;=E10),B10,""))</f>
        <v/>
      </c>
      <c r="AN10" s="11">
        <f>IF(D10="","",IF(AND(AN$4&gt;D10,AN$4&lt;=E10),B10,""))</f>
        <v/>
      </c>
      <c r="AO10" s="11">
        <f>IF(D10="","",IF(AND(AO$4&gt;D10,AO$4&lt;=E10),B10,""))</f>
        <v/>
      </c>
      <c r="AP10" s="11">
        <f>IF(D10="","",IF(AND(AP$4&gt;D10,AP$4&lt;=E10),B10,""))</f>
        <v/>
      </c>
      <c r="AQ10" s="11">
        <f>IF(D10="","",IF(AND(AQ$4&gt;D10,AQ$4&lt;=E10),B10,""))</f>
        <v/>
      </c>
      <c r="AR10" s="11">
        <f>IF(D10="","",IF(AND(AR$4&gt;D10,AR$4&lt;=E10),B10,""))</f>
        <v/>
      </c>
      <c r="AS10" s="11">
        <f>IF(D10="","",IF(AND(AS$4&gt;D10,AS$4&lt;=E10),B10,""))</f>
        <v/>
      </c>
    </row>
    <row r="11">
      <c r="A11" s="10" t="inlineStr">
        <is>
          <t>G</t>
        </is>
      </c>
      <c r="B11" s="4" t="n">
        <v>1</v>
      </c>
      <c r="C11" s="4" t="n">
        <v>3</v>
      </c>
      <c r="D11" s="7" t="n"/>
      <c r="E11" s="4">
        <f>IF(D11="","",D11+C11)</f>
        <v/>
      </c>
      <c r="F11" s="11">
        <f>IF(D11="","",IF(AND(F$4&gt;D11,F$4&lt;=E11),B11,""))</f>
        <v/>
      </c>
      <c r="G11" s="11">
        <f>IF(D11="","",IF(AND(G$4&gt;D11,G$4&lt;=E11),B11,""))</f>
        <v/>
      </c>
      <c r="H11" s="11">
        <f>IF(D11="","",IF(AND(H$4&gt;D11,H$4&lt;=E11),B11,""))</f>
        <v/>
      </c>
      <c r="I11" s="11">
        <f>IF(D11="","",IF(AND(I$4&gt;D11,I$4&lt;=E11),B11,""))</f>
        <v/>
      </c>
      <c r="J11" s="11">
        <f>IF(D11="","",IF(AND(J$4&gt;D11,J$4&lt;=E11),B11,""))</f>
        <v/>
      </c>
      <c r="K11" s="11">
        <f>IF(D11="","",IF(AND(K$4&gt;D11,K$4&lt;=E11),B11,""))</f>
        <v/>
      </c>
      <c r="L11" s="11">
        <f>IF(D11="","",IF(AND(L$4&gt;D11,L$4&lt;=E11),B11,""))</f>
        <v/>
      </c>
      <c r="M11" s="11">
        <f>IF(D11="","",IF(AND(M$4&gt;D11,M$4&lt;=E11),B11,""))</f>
        <v/>
      </c>
      <c r="N11" s="11">
        <f>IF(D11="","",IF(AND(N$4&gt;D11,N$4&lt;=E11),B11,""))</f>
        <v/>
      </c>
      <c r="O11" s="11">
        <f>IF(D11="","",IF(AND(O$4&gt;D11,O$4&lt;=E11),B11,""))</f>
        <v/>
      </c>
      <c r="P11" s="11">
        <f>IF(D11="","",IF(AND(P$4&gt;D11,P$4&lt;=E11),B11,""))</f>
        <v/>
      </c>
      <c r="Q11" s="11">
        <f>IF(D11="","",IF(AND(Q$4&gt;D11,Q$4&lt;=E11),B11,""))</f>
        <v/>
      </c>
      <c r="R11" s="11">
        <f>IF(D11="","",IF(AND(R$4&gt;D11,R$4&lt;=E11),B11,""))</f>
        <v/>
      </c>
      <c r="S11" s="11">
        <f>IF(D11="","",IF(AND(S$4&gt;D11,S$4&lt;=E11),B11,""))</f>
        <v/>
      </c>
      <c r="T11" s="11">
        <f>IF(D11="","",IF(AND(T$4&gt;D11,T$4&lt;=E11),B11,""))</f>
        <v/>
      </c>
      <c r="U11" s="11">
        <f>IF(D11="","",IF(AND(U$4&gt;D11,U$4&lt;=E11),B11,""))</f>
        <v/>
      </c>
      <c r="V11" s="11">
        <f>IF(D11="","",IF(AND(V$4&gt;D11,V$4&lt;=E11),B11,""))</f>
        <v/>
      </c>
      <c r="W11" s="11">
        <f>IF(D11="","",IF(AND(W$4&gt;D11,W$4&lt;=E11),B11,""))</f>
        <v/>
      </c>
      <c r="X11" s="11">
        <f>IF(D11="","",IF(AND(X$4&gt;D11,X$4&lt;=E11),B11,""))</f>
        <v/>
      </c>
      <c r="Y11" s="11">
        <f>IF(D11="","",IF(AND(Y$4&gt;D11,Y$4&lt;=E11),B11,""))</f>
        <v/>
      </c>
      <c r="Z11" s="11">
        <f>IF(D11="","",IF(AND(Z$4&gt;D11,Z$4&lt;=E11),B11,""))</f>
        <v/>
      </c>
      <c r="AA11" s="11">
        <f>IF(D11="","",IF(AND(AA$4&gt;D11,AA$4&lt;=E11),B11,""))</f>
        <v/>
      </c>
      <c r="AB11" s="11">
        <f>IF(D11="","",IF(AND(AB$4&gt;D11,AB$4&lt;=E11),B11,""))</f>
        <v/>
      </c>
      <c r="AC11" s="11">
        <f>IF(D11="","",IF(AND(AC$4&gt;D11,AC$4&lt;=E11),B11,""))</f>
        <v/>
      </c>
      <c r="AD11" s="11">
        <f>IF(D11="","",IF(AND(AD$4&gt;D11,AD$4&lt;=E11),B11,""))</f>
        <v/>
      </c>
      <c r="AE11" s="11">
        <f>IF(D11="","",IF(AND(AE$4&gt;D11,AE$4&lt;=E11),B11,""))</f>
        <v/>
      </c>
      <c r="AF11" s="11">
        <f>IF(D11="","",IF(AND(AF$4&gt;D11,AF$4&lt;=E11),B11,""))</f>
        <v/>
      </c>
      <c r="AG11" s="11">
        <f>IF(D11="","",IF(AND(AG$4&gt;D11,AG$4&lt;=E11),B11,""))</f>
        <v/>
      </c>
      <c r="AH11" s="11">
        <f>IF(D11="","",IF(AND(AH$4&gt;D11,AH$4&lt;=E11),B11,""))</f>
        <v/>
      </c>
      <c r="AI11" s="11">
        <f>IF(D11="","",IF(AND(AI$4&gt;D11,AI$4&lt;=E11),B11,""))</f>
        <v/>
      </c>
      <c r="AJ11" s="11">
        <f>IF(D11="","",IF(AND(AJ$4&gt;D11,AJ$4&lt;=E11),B11,""))</f>
        <v/>
      </c>
      <c r="AK11" s="11">
        <f>IF(D11="","",IF(AND(AK$4&gt;D11,AK$4&lt;=E11),B11,""))</f>
        <v/>
      </c>
      <c r="AL11" s="11">
        <f>IF(D11="","",IF(AND(AL$4&gt;D11,AL$4&lt;=E11),B11,""))</f>
        <v/>
      </c>
      <c r="AM11" s="11">
        <f>IF(D11="","",IF(AND(AM$4&gt;D11,AM$4&lt;=E11),B11,""))</f>
        <v/>
      </c>
      <c r="AN11" s="11">
        <f>IF(D11="","",IF(AND(AN$4&gt;D11,AN$4&lt;=E11),B11,""))</f>
        <v/>
      </c>
      <c r="AO11" s="11">
        <f>IF(D11="","",IF(AND(AO$4&gt;D11,AO$4&lt;=E11),B11,""))</f>
        <v/>
      </c>
      <c r="AP11" s="11">
        <f>IF(D11="","",IF(AND(AP$4&gt;D11,AP$4&lt;=E11),B11,""))</f>
        <v/>
      </c>
      <c r="AQ11" s="11">
        <f>IF(D11="","",IF(AND(AQ$4&gt;D11,AQ$4&lt;=E11),B11,""))</f>
        <v/>
      </c>
      <c r="AR11" s="11">
        <f>IF(D11="","",IF(AND(AR$4&gt;D11,AR$4&lt;=E11),B11,""))</f>
        <v/>
      </c>
      <c r="AS11" s="11">
        <f>IF(D11="","",IF(AND(AS$4&gt;D11,AS$4&lt;=E11),B11,""))</f>
        <v/>
      </c>
    </row>
    <row r="12">
      <c r="A12" s="10" t="inlineStr">
        <is>
          <t>H</t>
        </is>
      </c>
      <c r="B12" s="4" t="n">
        <v>2</v>
      </c>
      <c r="C12" s="4" t="n">
        <v>4</v>
      </c>
      <c r="D12" s="7" t="n"/>
      <c r="E12" s="4">
        <f>IF(D12="","",D12+C12)</f>
        <v/>
      </c>
      <c r="F12" s="11">
        <f>IF(D12="","",IF(AND(F$4&gt;D12,F$4&lt;=E12),B12,""))</f>
        <v/>
      </c>
      <c r="G12" s="11">
        <f>IF(D12="","",IF(AND(G$4&gt;D12,G$4&lt;=E12),B12,""))</f>
        <v/>
      </c>
      <c r="H12" s="11">
        <f>IF(D12="","",IF(AND(H$4&gt;D12,H$4&lt;=E12),B12,""))</f>
        <v/>
      </c>
      <c r="I12" s="11">
        <f>IF(D12="","",IF(AND(I$4&gt;D12,I$4&lt;=E12),B12,""))</f>
        <v/>
      </c>
      <c r="J12" s="11">
        <f>IF(D12="","",IF(AND(J$4&gt;D12,J$4&lt;=E12),B12,""))</f>
        <v/>
      </c>
      <c r="K12" s="11">
        <f>IF(D12="","",IF(AND(K$4&gt;D12,K$4&lt;=E12),B12,""))</f>
        <v/>
      </c>
      <c r="L12" s="11">
        <f>IF(D12="","",IF(AND(L$4&gt;D12,L$4&lt;=E12),B12,""))</f>
        <v/>
      </c>
      <c r="M12" s="11">
        <f>IF(D12="","",IF(AND(M$4&gt;D12,M$4&lt;=E12),B12,""))</f>
        <v/>
      </c>
      <c r="N12" s="11">
        <f>IF(D12="","",IF(AND(N$4&gt;D12,N$4&lt;=E12),B12,""))</f>
        <v/>
      </c>
      <c r="O12" s="11">
        <f>IF(D12="","",IF(AND(O$4&gt;D12,O$4&lt;=E12),B12,""))</f>
        <v/>
      </c>
      <c r="P12" s="11">
        <f>IF(D12="","",IF(AND(P$4&gt;D12,P$4&lt;=E12),B12,""))</f>
        <v/>
      </c>
      <c r="Q12" s="11">
        <f>IF(D12="","",IF(AND(Q$4&gt;D12,Q$4&lt;=E12),B12,""))</f>
        <v/>
      </c>
      <c r="R12" s="11">
        <f>IF(D12="","",IF(AND(R$4&gt;D12,R$4&lt;=E12),B12,""))</f>
        <v/>
      </c>
      <c r="S12" s="11">
        <f>IF(D12="","",IF(AND(S$4&gt;D12,S$4&lt;=E12),B12,""))</f>
        <v/>
      </c>
      <c r="T12" s="11">
        <f>IF(D12="","",IF(AND(T$4&gt;D12,T$4&lt;=E12),B12,""))</f>
        <v/>
      </c>
      <c r="U12" s="11">
        <f>IF(D12="","",IF(AND(U$4&gt;D12,U$4&lt;=E12),B12,""))</f>
        <v/>
      </c>
      <c r="V12" s="11">
        <f>IF(D12="","",IF(AND(V$4&gt;D12,V$4&lt;=E12),B12,""))</f>
        <v/>
      </c>
      <c r="W12" s="11">
        <f>IF(D12="","",IF(AND(W$4&gt;D12,W$4&lt;=E12),B12,""))</f>
        <v/>
      </c>
      <c r="X12" s="11">
        <f>IF(D12="","",IF(AND(X$4&gt;D12,X$4&lt;=E12),B12,""))</f>
        <v/>
      </c>
      <c r="Y12" s="11">
        <f>IF(D12="","",IF(AND(Y$4&gt;D12,Y$4&lt;=E12),B12,""))</f>
        <v/>
      </c>
      <c r="Z12" s="11">
        <f>IF(D12="","",IF(AND(Z$4&gt;D12,Z$4&lt;=E12),B12,""))</f>
        <v/>
      </c>
      <c r="AA12" s="11">
        <f>IF(D12="","",IF(AND(AA$4&gt;D12,AA$4&lt;=E12),B12,""))</f>
        <v/>
      </c>
      <c r="AB12" s="11">
        <f>IF(D12="","",IF(AND(AB$4&gt;D12,AB$4&lt;=E12),B12,""))</f>
        <v/>
      </c>
      <c r="AC12" s="11">
        <f>IF(D12="","",IF(AND(AC$4&gt;D12,AC$4&lt;=E12),B12,""))</f>
        <v/>
      </c>
      <c r="AD12" s="11">
        <f>IF(D12="","",IF(AND(AD$4&gt;D12,AD$4&lt;=E12),B12,""))</f>
        <v/>
      </c>
      <c r="AE12" s="11">
        <f>IF(D12="","",IF(AND(AE$4&gt;D12,AE$4&lt;=E12),B12,""))</f>
        <v/>
      </c>
      <c r="AF12" s="11">
        <f>IF(D12="","",IF(AND(AF$4&gt;D12,AF$4&lt;=E12),B12,""))</f>
        <v/>
      </c>
      <c r="AG12" s="11">
        <f>IF(D12="","",IF(AND(AG$4&gt;D12,AG$4&lt;=E12),B12,""))</f>
        <v/>
      </c>
      <c r="AH12" s="11">
        <f>IF(D12="","",IF(AND(AH$4&gt;D12,AH$4&lt;=E12),B12,""))</f>
        <v/>
      </c>
      <c r="AI12" s="11">
        <f>IF(D12="","",IF(AND(AI$4&gt;D12,AI$4&lt;=E12),B12,""))</f>
        <v/>
      </c>
      <c r="AJ12" s="11">
        <f>IF(D12="","",IF(AND(AJ$4&gt;D12,AJ$4&lt;=E12),B12,""))</f>
        <v/>
      </c>
      <c r="AK12" s="11">
        <f>IF(D12="","",IF(AND(AK$4&gt;D12,AK$4&lt;=E12),B12,""))</f>
        <v/>
      </c>
      <c r="AL12" s="11">
        <f>IF(D12="","",IF(AND(AL$4&gt;D12,AL$4&lt;=E12),B12,""))</f>
        <v/>
      </c>
      <c r="AM12" s="11">
        <f>IF(D12="","",IF(AND(AM$4&gt;D12,AM$4&lt;=E12),B12,""))</f>
        <v/>
      </c>
      <c r="AN12" s="11">
        <f>IF(D12="","",IF(AND(AN$4&gt;D12,AN$4&lt;=E12),B12,""))</f>
        <v/>
      </c>
      <c r="AO12" s="11">
        <f>IF(D12="","",IF(AND(AO$4&gt;D12,AO$4&lt;=E12),B12,""))</f>
        <v/>
      </c>
      <c r="AP12" s="11">
        <f>IF(D12="","",IF(AND(AP$4&gt;D12,AP$4&lt;=E12),B12,""))</f>
        <v/>
      </c>
      <c r="AQ12" s="11">
        <f>IF(D12="","",IF(AND(AQ$4&gt;D12,AQ$4&lt;=E12),B12,""))</f>
        <v/>
      </c>
      <c r="AR12" s="11">
        <f>IF(D12="","",IF(AND(AR$4&gt;D12,AR$4&lt;=E12),B12,""))</f>
        <v/>
      </c>
      <c r="AS12" s="11">
        <f>IF(D12="","",IF(AND(AS$4&gt;D12,AS$4&lt;=E12),B12,""))</f>
        <v/>
      </c>
    </row>
    <row r="13">
      <c r="A13" s="10" t="inlineStr">
        <is>
          <t>I</t>
        </is>
      </c>
      <c r="B13" s="4" t="n">
        <v>2</v>
      </c>
      <c r="C13" s="4" t="n">
        <v>2</v>
      </c>
      <c r="D13" s="7" t="n"/>
      <c r="E13" s="4">
        <f>IF(D13="","",D13+C13)</f>
        <v/>
      </c>
      <c r="F13" s="11">
        <f>IF(D13="","",IF(AND(F$4&gt;D13,F$4&lt;=E13),B13,""))</f>
        <v/>
      </c>
      <c r="G13" s="11">
        <f>IF(D13="","",IF(AND(G$4&gt;D13,G$4&lt;=E13),B13,""))</f>
        <v/>
      </c>
      <c r="H13" s="11">
        <f>IF(D13="","",IF(AND(H$4&gt;D13,H$4&lt;=E13),B13,""))</f>
        <v/>
      </c>
      <c r="I13" s="11">
        <f>IF(D13="","",IF(AND(I$4&gt;D13,I$4&lt;=E13),B13,""))</f>
        <v/>
      </c>
      <c r="J13" s="11">
        <f>IF(D13="","",IF(AND(J$4&gt;D13,J$4&lt;=E13),B13,""))</f>
        <v/>
      </c>
      <c r="K13" s="11">
        <f>IF(D13="","",IF(AND(K$4&gt;D13,K$4&lt;=E13),B13,""))</f>
        <v/>
      </c>
      <c r="L13" s="11">
        <f>IF(D13="","",IF(AND(L$4&gt;D13,L$4&lt;=E13),B13,""))</f>
        <v/>
      </c>
      <c r="M13" s="11">
        <f>IF(D13="","",IF(AND(M$4&gt;D13,M$4&lt;=E13),B13,""))</f>
        <v/>
      </c>
      <c r="N13" s="11">
        <f>IF(D13="","",IF(AND(N$4&gt;D13,N$4&lt;=E13),B13,""))</f>
        <v/>
      </c>
      <c r="O13" s="11">
        <f>IF(D13="","",IF(AND(O$4&gt;D13,O$4&lt;=E13),B13,""))</f>
        <v/>
      </c>
      <c r="P13" s="11">
        <f>IF(D13="","",IF(AND(P$4&gt;D13,P$4&lt;=E13),B13,""))</f>
        <v/>
      </c>
      <c r="Q13" s="11">
        <f>IF(D13="","",IF(AND(Q$4&gt;D13,Q$4&lt;=E13),B13,""))</f>
        <v/>
      </c>
      <c r="R13" s="11">
        <f>IF(D13="","",IF(AND(R$4&gt;D13,R$4&lt;=E13),B13,""))</f>
        <v/>
      </c>
      <c r="S13" s="11">
        <f>IF(D13="","",IF(AND(S$4&gt;D13,S$4&lt;=E13),B13,""))</f>
        <v/>
      </c>
      <c r="T13" s="11">
        <f>IF(D13="","",IF(AND(T$4&gt;D13,T$4&lt;=E13),B13,""))</f>
        <v/>
      </c>
      <c r="U13" s="11">
        <f>IF(D13="","",IF(AND(U$4&gt;D13,U$4&lt;=E13),B13,""))</f>
        <v/>
      </c>
      <c r="V13" s="11">
        <f>IF(D13="","",IF(AND(V$4&gt;D13,V$4&lt;=E13),B13,""))</f>
        <v/>
      </c>
      <c r="W13" s="11">
        <f>IF(D13="","",IF(AND(W$4&gt;D13,W$4&lt;=E13),B13,""))</f>
        <v/>
      </c>
      <c r="X13" s="11">
        <f>IF(D13="","",IF(AND(X$4&gt;D13,X$4&lt;=E13),B13,""))</f>
        <v/>
      </c>
      <c r="Y13" s="11">
        <f>IF(D13="","",IF(AND(Y$4&gt;D13,Y$4&lt;=E13),B13,""))</f>
        <v/>
      </c>
      <c r="Z13" s="11">
        <f>IF(D13="","",IF(AND(Z$4&gt;D13,Z$4&lt;=E13),B13,""))</f>
        <v/>
      </c>
      <c r="AA13" s="11">
        <f>IF(D13="","",IF(AND(AA$4&gt;D13,AA$4&lt;=E13),B13,""))</f>
        <v/>
      </c>
      <c r="AB13" s="11">
        <f>IF(D13="","",IF(AND(AB$4&gt;D13,AB$4&lt;=E13),B13,""))</f>
        <v/>
      </c>
      <c r="AC13" s="11">
        <f>IF(D13="","",IF(AND(AC$4&gt;D13,AC$4&lt;=E13),B13,""))</f>
        <v/>
      </c>
      <c r="AD13" s="11">
        <f>IF(D13="","",IF(AND(AD$4&gt;D13,AD$4&lt;=E13),B13,""))</f>
        <v/>
      </c>
      <c r="AE13" s="11">
        <f>IF(D13="","",IF(AND(AE$4&gt;D13,AE$4&lt;=E13),B13,""))</f>
        <v/>
      </c>
      <c r="AF13" s="11">
        <f>IF(D13="","",IF(AND(AF$4&gt;D13,AF$4&lt;=E13),B13,""))</f>
        <v/>
      </c>
      <c r="AG13" s="11">
        <f>IF(D13="","",IF(AND(AG$4&gt;D13,AG$4&lt;=E13),B13,""))</f>
        <v/>
      </c>
      <c r="AH13" s="11">
        <f>IF(D13="","",IF(AND(AH$4&gt;D13,AH$4&lt;=E13),B13,""))</f>
        <v/>
      </c>
      <c r="AI13" s="11">
        <f>IF(D13="","",IF(AND(AI$4&gt;D13,AI$4&lt;=E13),B13,""))</f>
        <v/>
      </c>
      <c r="AJ13" s="11">
        <f>IF(D13="","",IF(AND(AJ$4&gt;D13,AJ$4&lt;=E13),B13,""))</f>
        <v/>
      </c>
      <c r="AK13" s="11">
        <f>IF(D13="","",IF(AND(AK$4&gt;D13,AK$4&lt;=E13),B13,""))</f>
        <v/>
      </c>
      <c r="AL13" s="11">
        <f>IF(D13="","",IF(AND(AL$4&gt;D13,AL$4&lt;=E13),B13,""))</f>
        <v/>
      </c>
      <c r="AM13" s="11">
        <f>IF(D13="","",IF(AND(AM$4&gt;D13,AM$4&lt;=E13),B13,""))</f>
        <v/>
      </c>
      <c r="AN13" s="11">
        <f>IF(D13="","",IF(AND(AN$4&gt;D13,AN$4&lt;=E13),B13,""))</f>
        <v/>
      </c>
      <c r="AO13" s="11">
        <f>IF(D13="","",IF(AND(AO$4&gt;D13,AO$4&lt;=E13),B13,""))</f>
        <v/>
      </c>
      <c r="AP13" s="11">
        <f>IF(D13="","",IF(AND(AP$4&gt;D13,AP$4&lt;=E13),B13,""))</f>
        <v/>
      </c>
      <c r="AQ13" s="11">
        <f>IF(D13="","",IF(AND(AQ$4&gt;D13,AQ$4&lt;=E13),B13,""))</f>
        <v/>
      </c>
      <c r="AR13" s="11">
        <f>IF(D13="","",IF(AND(AR$4&gt;D13,AR$4&lt;=E13),B13,""))</f>
        <v/>
      </c>
      <c r="AS13" s="11">
        <f>IF(D13="","",IF(AND(AS$4&gt;D13,AS$4&lt;=E13),B13,""))</f>
        <v/>
      </c>
    </row>
    <row r="14">
      <c r="A14" s="8" t="inlineStr">
        <is>
          <t>Load</t>
        </is>
      </c>
      <c r="F14" s="12">
        <f>SUM(F5:F13)</f>
        <v/>
      </c>
      <c r="G14" s="12">
        <f>SUM(G5:G13)</f>
        <v/>
      </c>
      <c r="H14" s="12">
        <f>SUM(H5:H13)</f>
        <v/>
      </c>
      <c r="I14" s="12">
        <f>SUM(I5:I13)</f>
        <v/>
      </c>
      <c r="J14" s="12">
        <f>SUM(J5:J13)</f>
        <v/>
      </c>
      <c r="K14" s="12">
        <f>SUM(K5:K13)</f>
        <v/>
      </c>
      <c r="L14" s="12">
        <f>SUM(L5:L13)</f>
        <v/>
      </c>
      <c r="M14" s="12">
        <f>SUM(M5:M13)</f>
        <v/>
      </c>
      <c r="N14" s="12">
        <f>SUM(N5:N13)</f>
        <v/>
      </c>
      <c r="O14" s="12">
        <f>SUM(O5:O13)</f>
        <v/>
      </c>
      <c r="P14" s="12">
        <f>SUM(P5:P13)</f>
        <v/>
      </c>
      <c r="Q14" s="12">
        <f>SUM(Q5:Q13)</f>
        <v/>
      </c>
      <c r="R14" s="12">
        <f>SUM(R5:R13)</f>
        <v/>
      </c>
      <c r="S14" s="12">
        <f>SUM(S5:S13)</f>
        <v/>
      </c>
      <c r="T14" s="12">
        <f>SUM(T5:T13)</f>
        <v/>
      </c>
      <c r="U14" s="12">
        <f>SUM(U5:U13)</f>
        <v/>
      </c>
      <c r="V14" s="12">
        <f>SUM(V5:V13)</f>
        <v/>
      </c>
      <c r="W14" s="12">
        <f>SUM(W5:W13)</f>
        <v/>
      </c>
      <c r="X14" s="12">
        <f>SUM(X5:X13)</f>
        <v/>
      </c>
      <c r="Y14" s="12">
        <f>SUM(Y5:Y13)</f>
        <v/>
      </c>
      <c r="Z14" s="12">
        <f>SUM(Z5:Z13)</f>
        <v/>
      </c>
      <c r="AA14" s="12">
        <f>SUM(AA5:AA13)</f>
        <v/>
      </c>
      <c r="AB14" s="12">
        <f>SUM(AB5:AB13)</f>
        <v/>
      </c>
      <c r="AC14" s="12">
        <f>SUM(AC5:AC13)</f>
        <v/>
      </c>
      <c r="AD14" s="12">
        <f>SUM(AD5:AD13)</f>
        <v/>
      </c>
      <c r="AE14" s="12">
        <f>SUM(AE5:AE13)</f>
        <v/>
      </c>
      <c r="AF14" s="12">
        <f>SUM(AF5:AF13)</f>
        <v/>
      </c>
      <c r="AG14" s="12">
        <f>SUM(AG5:AG13)</f>
        <v/>
      </c>
      <c r="AH14" s="12">
        <f>SUM(AH5:AH13)</f>
        <v/>
      </c>
      <c r="AI14" s="12">
        <f>SUM(AI5:AI13)</f>
        <v/>
      </c>
      <c r="AJ14" s="12">
        <f>SUM(AJ5:AJ13)</f>
        <v/>
      </c>
      <c r="AK14" s="12">
        <f>SUM(AK5:AK13)</f>
        <v/>
      </c>
      <c r="AL14" s="12">
        <f>SUM(AL5:AL13)</f>
        <v/>
      </c>
      <c r="AM14" s="12">
        <f>SUM(AM5:AM13)</f>
        <v/>
      </c>
      <c r="AN14" s="12">
        <f>SUM(AN5:AN13)</f>
        <v/>
      </c>
      <c r="AO14" s="12">
        <f>SUM(AO5:AO13)</f>
        <v/>
      </c>
      <c r="AP14" s="12">
        <f>SUM(AP5:AP13)</f>
        <v/>
      </c>
      <c r="AQ14" s="12">
        <f>SUM(AQ5:AQ13)</f>
        <v/>
      </c>
      <c r="AR14" s="12">
        <f>SUM(AR5:AR13)</f>
        <v/>
      </c>
      <c r="AS14" s="12">
        <f>SUM(AS5:AS13)</f>
        <v/>
      </c>
    </row>
    <row r="15">
      <c r="A15" s="8" t="inlineStr">
        <is>
          <t>Available</t>
        </is>
      </c>
      <c r="F15" s="11" t="n">
        <v>2</v>
      </c>
      <c r="G15" s="11" t="n">
        <v>2</v>
      </c>
      <c r="H15" s="11" t="n">
        <v>2</v>
      </c>
      <c r="I15" s="11" t="n">
        <v>2</v>
      </c>
      <c r="J15" s="11" t="n">
        <v>2</v>
      </c>
      <c r="K15" s="11" t="n">
        <v>2</v>
      </c>
      <c r="L15" s="11" t="n">
        <v>2</v>
      </c>
      <c r="M15" s="11" t="n">
        <v>2</v>
      </c>
      <c r="N15" s="11" t="n">
        <v>2</v>
      </c>
      <c r="O15" s="11" t="n">
        <v>2</v>
      </c>
      <c r="P15" s="11" t="n">
        <v>2</v>
      </c>
      <c r="Q15" s="11" t="n">
        <v>2</v>
      </c>
      <c r="R15" s="11" t="n">
        <v>2</v>
      </c>
      <c r="S15" s="11" t="n">
        <v>2</v>
      </c>
      <c r="T15" s="11" t="n">
        <v>2</v>
      </c>
      <c r="U15" s="11" t="n">
        <v>2</v>
      </c>
      <c r="V15" s="11" t="n">
        <v>2</v>
      </c>
      <c r="W15" s="11" t="n">
        <v>2</v>
      </c>
      <c r="X15" s="11" t="n">
        <v>2</v>
      </c>
      <c r="Y15" s="11" t="n">
        <v>2</v>
      </c>
      <c r="Z15" s="11" t="n">
        <v>2</v>
      </c>
      <c r="AA15" s="11" t="n">
        <v>2</v>
      </c>
      <c r="AB15" s="11" t="n">
        <v>2</v>
      </c>
      <c r="AC15" s="11" t="n">
        <v>2</v>
      </c>
      <c r="AD15" s="11" t="n">
        <v>2</v>
      </c>
      <c r="AE15" s="11" t="n">
        <v>2</v>
      </c>
      <c r="AF15" s="11" t="n">
        <v>2</v>
      </c>
      <c r="AG15" s="11" t="n">
        <v>2</v>
      </c>
      <c r="AH15" s="11" t="n">
        <v>2</v>
      </c>
      <c r="AI15" s="11" t="n">
        <v>2</v>
      </c>
      <c r="AJ15" s="11" t="n">
        <v>2</v>
      </c>
      <c r="AK15" s="11" t="n">
        <v>2</v>
      </c>
      <c r="AL15" s="11" t="n">
        <v>2</v>
      </c>
      <c r="AM15" s="11" t="n">
        <v>2</v>
      </c>
      <c r="AN15" s="11" t="n">
        <v>2</v>
      </c>
      <c r="AO15" s="11" t="n">
        <v>2</v>
      </c>
      <c r="AP15" s="11" t="n">
        <v>2</v>
      </c>
      <c r="AQ15" s="11" t="n">
        <v>2</v>
      </c>
      <c r="AR15" s="11" t="n">
        <v>2</v>
      </c>
      <c r="AS15" s="11" t="n">
        <v>2</v>
      </c>
    </row>
    <row r="16">
      <c r="A16" s="8" t="inlineStr">
        <is>
          <t>Over by</t>
        </is>
      </c>
      <c r="F16" s="13">
        <f>IF(F14&gt;F15,F14-F15,"")</f>
        <v/>
      </c>
      <c r="G16" s="13">
        <f>IF(G14&gt;G15,G14-G15,"")</f>
        <v/>
      </c>
      <c r="H16" s="13">
        <f>IF(H14&gt;H15,H14-H15,"")</f>
        <v/>
      </c>
      <c r="I16" s="13">
        <f>IF(I14&gt;I15,I14-I15,"")</f>
        <v/>
      </c>
      <c r="J16" s="13">
        <f>IF(J14&gt;J15,J14-J15,"")</f>
        <v/>
      </c>
      <c r="K16" s="13">
        <f>IF(K14&gt;K15,K14-K15,"")</f>
        <v/>
      </c>
      <c r="L16" s="13">
        <f>IF(L14&gt;L15,L14-L15,"")</f>
        <v/>
      </c>
      <c r="M16" s="13">
        <f>IF(M14&gt;M15,M14-M15,"")</f>
        <v/>
      </c>
      <c r="N16" s="13">
        <f>IF(N14&gt;N15,N14-N15,"")</f>
        <v/>
      </c>
      <c r="O16" s="13">
        <f>IF(O14&gt;O15,O14-O15,"")</f>
        <v/>
      </c>
      <c r="P16" s="13">
        <f>IF(P14&gt;P15,P14-P15,"")</f>
        <v/>
      </c>
      <c r="Q16" s="13">
        <f>IF(Q14&gt;Q15,Q14-Q15,"")</f>
        <v/>
      </c>
      <c r="R16" s="13">
        <f>IF(R14&gt;R15,R14-R15,"")</f>
        <v/>
      </c>
      <c r="S16" s="13">
        <f>IF(S14&gt;S15,S14-S15,"")</f>
        <v/>
      </c>
      <c r="T16" s="13">
        <f>IF(T14&gt;T15,T14-T15,"")</f>
        <v/>
      </c>
      <c r="U16" s="13">
        <f>IF(U14&gt;U15,U14-U15,"")</f>
        <v/>
      </c>
      <c r="V16" s="13">
        <f>IF(V14&gt;V15,V14-V15,"")</f>
        <v/>
      </c>
      <c r="W16" s="13">
        <f>IF(W14&gt;W15,W14-W15,"")</f>
        <v/>
      </c>
      <c r="X16" s="13">
        <f>IF(X14&gt;X15,X14-X15,"")</f>
        <v/>
      </c>
      <c r="Y16" s="13">
        <f>IF(Y14&gt;Y15,Y14-Y15,"")</f>
        <v/>
      </c>
      <c r="Z16" s="13">
        <f>IF(Z14&gt;Z15,Z14-Z15,"")</f>
        <v/>
      </c>
      <c r="AA16" s="13">
        <f>IF(AA14&gt;AA15,AA14-AA15,"")</f>
        <v/>
      </c>
      <c r="AB16" s="13">
        <f>IF(AB14&gt;AB15,AB14-AB15,"")</f>
        <v/>
      </c>
      <c r="AC16" s="13">
        <f>IF(AC14&gt;AC15,AC14-AC15,"")</f>
        <v/>
      </c>
      <c r="AD16" s="13">
        <f>IF(AD14&gt;AD15,AD14-AD15,"")</f>
        <v/>
      </c>
      <c r="AE16" s="13">
        <f>IF(AE14&gt;AE15,AE14-AE15,"")</f>
        <v/>
      </c>
      <c r="AF16" s="13">
        <f>IF(AF14&gt;AF15,AF14-AF15,"")</f>
        <v/>
      </c>
      <c r="AG16" s="13">
        <f>IF(AG14&gt;AG15,AG14-AG15,"")</f>
        <v/>
      </c>
      <c r="AH16" s="13">
        <f>IF(AH14&gt;AH15,AH14-AH15,"")</f>
        <v/>
      </c>
      <c r="AI16" s="13">
        <f>IF(AI14&gt;AI15,AI14-AI15,"")</f>
        <v/>
      </c>
      <c r="AJ16" s="13">
        <f>IF(AJ14&gt;AJ15,AJ14-AJ15,"")</f>
        <v/>
      </c>
      <c r="AK16" s="13">
        <f>IF(AK14&gt;AK15,AK14-AK15,"")</f>
        <v/>
      </c>
      <c r="AL16" s="13">
        <f>IF(AL14&gt;AL15,AL14-AL15,"")</f>
        <v/>
      </c>
      <c r="AM16" s="13">
        <f>IF(AM14&gt;AM15,AM14-AM15,"")</f>
        <v/>
      </c>
      <c r="AN16" s="13">
        <f>IF(AN14&gt;AN15,AN14-AN15,"")</f>
        <v/>
      </c>
      <c r="AO16" s="13">
        <f>IF(AO14&gt;AO15,AO14-AO15,"")</f>
        <v/>
      </c>
      <c r="AP16" s="13">
        <f>IF(AP14&gt;AP15,AP14-AP15,"")</f>
        <v/>
      </c>
      <c r="AQ16" s="13">
        <f>IF(AQ14&gt;AQ15,AQ14-AQ15,"")</f>
        <v/>
      </c>
      <c r="AR16" s="13">
        <f>IF(AR14&gt;AR15,AR14-AR15,"")</f>
        <v/>
      </c>
      <c r="AS16" s="13">
        <f>IF(AS14&gt;AS15,AS14-AS15,"")</f>
        <v/>
      </c>
    </row>
    <row r="18">
      <c r="A18" s="8" t="inlineStr">
        <is>
          <t>Project finish (max Finish)</t>
        </is>
      </c>
      <c r="E18" s="14">
        <f>MAX(E5:E13)</f>
        <v/>
      </c>
    </row>
    <row r="19">
      <c r="A19" s="8" t="inlineStr">
        <is>
          <t>Peak load</t>
        </is>
      </c>
      <c r="E19" s="14">
        <f>MAX(F14:AS14)</f>
        <v/>
      </c>
    </row>
    <row r="20">
      <c r="A20" s="8" t="inlineStr">
        <is>
          <t>Days over the limit</t>
        </is>
      </c>
      <c r="E20" s="14">
        <f>COUNTIF(F16:AS16,"&gt;0")</f>
        <v/>
      </c>
    </row>
    <row r="22">
      <c r="A22" s="2" t="inlineStr">
        <is>
          <t>Enter each activity's start day (0 = project start). The grid shows the coordinators it uses on each day, the Load row sums them, and Over by flags any day above the limit.</t>
        </is>
      </c>
    </row>
  </sheetData>
  <mergeCells count="3">
    <mergeCell ref="A18:D18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7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</cols>
  <sheetData>
    <row r="1">
      <c r="A1" s="1" t="inlineStr">
        <is>
          <t>Two coordinators plus a third for five days</t>
        </is>
      </c>
    </row>
    <row r="2">
      <c r="A2" s="2" t="inlineStr">
        <is>
          <t>Change five consecutive cells of the Available row from 2 to 3, then schedule against the new limits. Which window buys the earliest finish?</t>
        </is>
      </c>
    </row>
    <row r="4" ht="30" customHeight="1">
      <c r="A4" s="3" t="inlineStr">
        <is>
          <t>ID</t>
        </is>
      </c>
      <c r="B4" s="3" t="inlineStr">
        <is>
          <t>Coord.</t>
        </is>
      </c>
      <c r="C4" s="3" t="inlineStr">
        <is>
          <t>Dur.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1</t>
        </is>
      </c>
      <c r="G4" s="3" t="inlineStr">
        <is>
          <t>2</t>
        </is>
      </c>
      <c r="H4" s="3" t="inlineStr">
        <is>
          <t>3</t>
        </is>
      </c>
      <c r="I4" s="3" t="inlineStr">
        <is>
          <t>4</t>
        </is>
      </c>
      <c r="J4" s="3" t="inlineStr">
        <is>
          <t>5</t>
        </is>
      </c>
      <c r="K4" s="3" t="inlineStr">
        <is>
          <t>6</t>
        </is>
      </c>
      <c r="L4" s="3" t="inlineStr">
        <is>
          <t>7</t>
        </is>
      </c>
      <c r="M4" s="3" t="inlineStr">
        <is>
          <t>8</t>
        </is>
      </c>
      <c r="N4" s="3" t="inlineStr">
        <is>
          <t>9</t>
        </is>
      </c>
      <c r="O4" s="3" t="inlineStr">
        <is>
          <t>10</t>
        </is>
      </c>
      <c r="P4" s="3" t="inlineStr">
        <is>
          <t>11</t>
        </is>
      </c>
      <c r="Q4" s="3" t="inlineStr">
        <is>
          <t>12</t>
        </is>
      </c>
      <c r="R4" s="3" t="inlineStr">
        <is>
          <t>13</t>
        </is>
      </c>
      <c r="S4" s="3" t="inlineStr">
        <is>
          <t>14</t>
        </is>
      </c>
      <c r="T4" s="3" t="inlineStr">
        <is>
          <t>15</t>
        </is>
      </c>
      <c r="U4" s="3" t="inlineStr">
        <is>
          <t>16</t>
        </is>
      </c>
      <c r="V4" s="3" t="inlineStr">
        <is>
          <t>17</t>
        </is>
      </c>
      <c r="W4" s="3" t="inlineStr">
        <is>
          <t>18</t>
        </is>
      </c>
      <c r="X4" s="3" t="inlineStr">
        <is>
          <t>19</t>
        </is>
      </c>
      <c r="Y4" s="3" t="inlineStr">
        <is>
          <t>20</t>
        </is>
      </c>
      <c r="Z4" s="3" t="inlineStr">
        <is>
          <t>21</t>
        </is>
      </c>
      <c r="AA4" s="3" t="inlineStr">
        <is>
          <t>22</t>
        </is>
      </c>
      <c r="AB4" s="3" t="inlineStr">
        <is>
          <t>23</t>
        </is>
      </c>
      <c r="AC4" s="3" t="inlineStr">
        <is>
          <t>24</t>
        </is>
      </c>
      <c r="AD4" s="3" t="inlineStr">
        <is>
          <t>25</t>
        </is>
      </c>
      <c r="AE4" s="3" t="inlineStr">
        <is>
          <t>26</t>
        </is>
      </c>
      <c r="AF4" s="3" t="inlineStr">
        <is>
          <t>27</t>
        </is>
      </c>
      <c r="AG4" s="3" t="inlineStr">
        <is>
          <t>28</t>
        </is>
      </c>
      <c r="AH4" s="3" t="inlineStr">
        <is>
          <t>29</t>
        </is>
      </c>
      <c r="AI4" s="3" t="inlineStr">
        <is>
          <t>30</t>
        </is>
      </c>
      <c r="AJ4" s="3" t="inlineStr">
        <is>
          <t>31</t>
        </is>
      </c>
      <c r="AK4" s="3" t="inlineStr">
        <is>
          <t>32</t>
        </is>
      </c>
      <c r="AL4" s="3" t="inlineStr">
        <is>
          <t>33</t>
        </is>
      </c>
      <c r="AM4" s="3" t="inlineStr">
        <is>
          <t>34</t>
        </is>
      </c>
      <c r="AN4" s="3" t="inlineStr">
        <is>
          <t>35</t>
        </is>
      </c>
      <c r="AO4" s="3" t="inlineStr">
        <is>
          <t>36</t>
        </is>
      </c>
      <c r="AP4" s="3" t="inlineStr">
        <is>
          <t>37</t>
        </is>
      </c>
      <c r="AQ4" s="3" t="inlineStr">
        <is>
          <t>38</t>
        </is>
      </c>
      <c r="AR4" s="3" t="inlineStr">
        <is>
          <t>39</t>
        </is>
      </c>
      <c r="AS4" s="3" t="inlineStr">
        <is>
          <t>40</t>
        </is>
      </c>
    </row>
    <row r="5">
      <c r="A5" s="10" t="inlineStr">
        <is>
          <t>A</t>
        </is>
      </c>
      <c r="B5" s="4" t="n">
        <v>1</v>
      </c>
      <c r="C5" s="4" t="n">
        <v>2</v>
      </c>
      <c r="D5" s="7" t="n"/>
      <c r="E5" s="4">
        <f>IF(D5="","",D5+C5)</f>
        <v/>
      </c>
      <c r="F5" s="11">
        <f>IF(D5="","",IF(AND(F$4&gt;D5,F$4&lt;=E5),B5,""))</f>
        <v/>
      </c>
      <c r="G5" s="11">
        <f>IF(D5="","",IF(AND(G$4&gt;D5,G$4&lt;=E5),B5,""))</f>
        <v/>
      </c>
      <c r="H5" s="11">
        <f>IF(D5="","",IF(AND(H$4&gt;D5,H$4&lt;=E5),B5,""))</f>
        <v/>
      </c>
      <c r="I5" s="11">
        <f>IF(D5="","",IF(AND(I$4&gt;D5,I$4&lt;=E5),B5,""))</f>
        <v/>
      </c>
      <c r="J5" s="11">
        <f>IF(D5="","",IF(AND(J$4&gt;D5,J$4&lt;=E5),B5,""))</f>
        <v/>
      </c>
      <c r="K5" s="11">
        <f>IF(D5="","",IF(AND(K$4&gt;D5,K$4&lt;=E5),B5,""))</f>
        <v/>
      </c>
      <c r="L5" s="11">
        <f>IF(D5="","",IF(AND(L$4&gt;D5,L$4&lt;=E5),B5,""))</f>
        <v/>
      </c>
      <c r="M5" s="11">
        <f>IF(D5="","",IF(AND(M$4&gt;D5,M$4&lt;=E5),B5,""))</f>
        <v/>
      </c>
      <c r="N5" s="11">
        <f>IF(D5="","",IF(AND(N$4&gt;D5,N$4&lt;=E5),B5,""))</f>
        <v/>
      </c>
      <c r="O5" s="11">
        <f>IF(D5="","",IF(AND(O$4&gt;D5,O$4&lt;=E5),B5,""))</f>
        <v/>
      </c>
      <c r="P5" s="11">
        <f>IF(D5="","",IF(AND(P$4&gt;D5,P$4&lt;=E5),B5,""))</f>
        <v/>
      </c>
      <c r="Q5" s="11">
        <f>IF(D5="","",IF(AND(Q$4&gt;D5,Q$4&lt;=E5),B5,""))</f>
        <v/>
      </c>
      <c r="R5" s="11">
        <f>IF(D5="","",IF(AND(R$4&gt;D5,R$4&lt;=E5),B5,""))</f>
        <v/>
      </c>
      <c r="S5" s="11">
        <f>IF(D5="","",IF(AND(S$4&gt;D5,S$4&lt;=E5),B5,""))</f>
        <v/>
      </c>
      <c r="T5" s="11">
        <f>IF(D5="","",IF(AND(T$4&gt;D5,T$4&lt;=E5),B5,""))</f>
        <v/>
      </c>
      <c r="U5" s="11">
        <f>IF(D5="","",IF(AND(U$4&gt;D5,U$4&lt;=E5),B5,""))</f>
        <v/>
      </c>
      <c r="V5" s="11">
        <f>IF(D5="","",IF(AND(V$4&gt;D5,V$4&lt;=E5),B5,""))</f>
        <v/>
      </c>
      <c r="W5" s="11">
        <f>IF(D5="","",IF(AND(W$4&gt;D5,W$4&lt;=E5),B5,""))</f>
        <v/>
      </c>
      <c r="X5" s="11">
        <f>IF(D5="","",IF(AND(X$4&gt;D5,X$4&lt;=E5),B5,""))</f>
        <v/>
      </c>
      <c r="Y5" s="11">
        <f>IF(D5="","",IF(AND(Y$4&gt;D5,Y$4&lt;=E5),B5,""))</f>
        <v/>
      </c>
      <c r="Z5" s="11">
        <f>IF(D5="","",IF(AND(Z$4&gt;D5,Z$4&lt;=E5),B5,""))</f>
        <v/>
      </c>
      <c r="AA5" s="11">
        <f>IF(D5="","",IF(AND(AA$4&gt;D5,AA$4&lt;=E5),B5,""))</f>
        <v/>
      </c>
      <c r="AB5" s="11">
        <f>IF(D5="","",IF(AND(AB$4&gt;D5,AB$4&lt;=E5),B5,""))</f>
        <v/>
      </c>
      <c r="AC5" s="11">
        <f>IF(D5="","",IF(AND(AC$4&gt;D5,AC$4&lt;=E5),B5,""))</f>
        <v/>
      </c>
      <c r="AD5" s="11">
        <f>IF(D5="","",IF(AND(AD$4&gt;D5,AD$4&lt;=E5),B5,""))</f>
        <v/>
      </c>
      <c r="AE5" s="11">
        <f>IF(D5="","",IF(AND(AE$4&gt;D5,AE$4&lt;=E5),B5,""))</f>
        <v/>
      </c>
      <c r="AF5" s="11">
        <f>IF(D5="","",IF(AND(AF$4&gt;D5,AF$4&lt;=E5),B5,""))</f>
        <v/>
      </c>
      <c r="AG5" s="11">
        <f>IF(D5="","",IF(AND(AG$4&gt;D5,AG$4&lt;=E5),B5,""))</f>
        <v/>
      </c>
      <c r="AH5" s="11">
        <f>IF(D5="","",IF(AND(AH$4&gt;D5,AH$4&lt;=E5),B5,""))</f>
        <v/>
      </c>
      <c r="AI5" s="11">
        <f>IF(D5="","",IF(AND(AI$4&gt;D5,AI$4&lt;=E5),B5,""))</f>
        <v/>
      </c>
      <c r="AJ5" s="11">
        <f>IF(D5="","",IF(AND(AJ$4&gt;D5,AJ$4&lt;=E5),B5,""))</f>
        <v/>
      </c>
      <c r="AK5" s="11">
        <f>IF(D5="","",IF(AND(AK$4&gt;D5,AK$4&lt;=E5),B5,""))</f>
        <v/>
      </c>
      <c r="AL5" s="11">
        <f>IF(D5="","",IF(AND(AL$4&gt;D5,AL$4&lt;=E5),B5,""))</f>
        <v/>
      </c>
      <c r="AM5" s="11">
        <f>IF(D5="","",IF(AND(AM$4&gt;D5,AM$4&lt;=E5),B5,""))</f>
        <v/>
      </c>
      <c r="AN5" s="11">
        <f>IF(D5="","",IF(AND(AN$4&gt;D5,AN$4&lt;=E5),B5,""))</f>
        <v/>
      </c>
      <c r="AO5" s="11">
        <f>IF(D5="","",IF(AND(AO$4&gt;D5,AO$4&lt;=E5),B5,""))</f>
        <v/>
      </c>
      <c r="AP5" s="11">
        <f>IF(D5="","",IF(AND(AP$4&gt;D5,AP$4&lt;=E5),B5,""))</f>
        <v/>
      </c>
      <c r="AQ5" s="11">
        <f>IF(D5="","",IF(AND(AQ$4&gt;D5,AQ$4&lt;=E5),B5,""))</f>
        <v/>
      </c>
      <c r="AR5" s="11">
        <f>IF(D5="","",IF(AND(AR$4&gt;D5,AR$4&lt;=E5),B5,""))</f>
        <v/>
      </c>
      <c r="AS5" s="11">
        <f>IF(D5="","",IF(AND(AS$4&gt;D5,AS$4&lt;=E5),B5,""))</f>
        <v/>
      </c>
    </row>
    <row r="6">
      <c r="A6" s="10" t="inlineStr">
        <is>
          <t>B</t>
        </is>
      </c>
      <c r="B6" s="4" t="n">
        <v>2</v>
      </c>
      <c r="C6" s="4" t="n">
        <v>5</v>
      </c>
      <c r="D6" s="7" t="n"/>
      <c r="E6" s="4">
        <f>IF(D6="","",D6+C6)</f>
        <v/>
      </c>
      <c r="F6" s="11">
        <f>IF(D6="","",IF(AND(F$4&gt;D6,F$4&lt;=E6),B6,""))</f>
        <v/>
      </c>
      <c r="G6" s="11">
        <f>IF(D6="","",IF(AND(G$4&gt;D6,G$4&lt;=E6),B6,""))</f>
        <v/>
      </c>
      <c r="H6" s="11">
        <f>IF(D6="","",IF(AND(H$4&gt;D6,H$4&lt;=E6),B6,""))</f>
        <v/>
      </c>
      <c r="I6" s="11">
        <f>IF(D6="","",IF(AND(I$4&gt;D6,I$4&lt;=E6),B6,""))</f>
        <v/>
      </c>
      <c r="J6" s="11">
        <f>IF(D6="","",IF(AND(J$4&gt;D6,J$4&lt;=E6),B6,""))</f>
        <v/>
      </c>
      <c r="K6" s="11">
        <f>IF(D6="","",IF(AND(K$4&gt;D6,K$4&lt;=E6),B6,""))</f>
        <v/>
      </c>
      <c r="L6" s="11">
        <f>IF(D6="","",IF(AND(L$4&gt;D6,L$4&lt;=E6),B6,""))</f>
        <v/>
      </c>
      <c r="M6" s="11">
        <f>IF(D6="","",IF(AND(M$4&gt;D6,M$4&lt;=E6),B6,""))</f>
        <v/>
      </c>
      <c r="N6" s="11">
        <f>IF(D6="","",IF(AND(N$4&gt;D6,N$4&lt;=E6),B6,""))</f>
        <v/>
      </c>
      <c r="O6" s="11">
        <f>IF(D6="","",IF(AND(O$4&gt;D6,O$4&lt;=E6),B6,""))</f>
        <v/>
      </c>
      <c r="P6" s="11">
        <f>IF(D6="","",IF(AND(P$4&gt;D6,P$4&lt;=E6),B6,""))</f>
        <v/>
      </c>
      <c r="Q6" s="11">
        <f>IF(D6="","",IF(AND(Q$4&gt;D6,Q$4&lt;=E6),B6,""))</f>
        <v/>
      </c>
      <c r="R6" s="11">
        <f>IF(D6="","",IF(AND(R$4&gt;D6,R$4&lt;=E6),B6,""))</f>
        <v/>
      </c>
      <c r="S6" s="11">
        <f>IF(D6="","",IF(AND(S$4&gt;D6,S$4&lt;=E6),B6,""))</f>
        <v/>
      </c>
      <c r="T6" s="11">
        <f>IF(D6="","",IF(AND(T$4&gt;D6,T$4&lt;=E6),B6,""))</f>
        <v/>
      </c>
      <c r="U6" s="11">
        <f>IF(D6="","",IF(AND(U$4&gt;D6,U$4&lt;=E6),B6,""))</f>
        <v/>
      </c>
      <c r="V6" s="11">
        <f>IF(D6="","",IF(AND(V$4&gt;D6,V$4&lt;=E6),B6,""))</f>
        <v/>
      </c>
      <c r="W6" s="11">
        <f>IF(D6="","",IF(AND(W$4&gt;D6,W$4&lt;=E6),B6,""))</f>
        <v/>
      </c>
      <c r="X6" s="11">
        <f>IF(D6="","",IF(AND(X$4&gt;D6,X$4&lt;=E6),B6,""))</f>
        <v/>
      </c>
      <c r="Y6" s="11">
        <f>IF(D6="","",IF(AND(Y$4&gt;D6,Y$4&lt;=E6),B6,""))</f>
        <v/>
      </c>
      <c r="Z6" s="11">
        <f>IF(D6="","",IF(AND(Z$4&gt;D6,Z$4&lt;=E6),B6,""))</f>
        <v/>
      </c>
      <c r="AA6" s="11">
        <f>IF(D6="","",IF(AND(AA$4&gt;D6,AA$4&lt;=E6),B6,""))</f>
        <v/>
      </c>
      <c r="AB6" s="11">
        <f>IF(D6="","",IF(AND(AB$4&gt;D6,AB$4&lt;=E6),B6,""))</f>
        <v/>
      </c>
      <c r="AC6" s="11">
        <f>IF(D6="","",IF(AND(AC$4&gt;D6,AC$4&lt;=E6),B6,""))</f>
        <v/>
      </c>
      <c r="AD6" s="11">
        <f>IF(D6="","",IF(AND(AD$4&gt;D6,AD$4&lt;=E6),B6,""))</f>
        <v/>
      </c>
      <c r="AE6" s="11">
        <f>IF(D6="","",IF(AND(AE$4&gt;D6,AE$4&lt;=E6),B6,""))</f>
        <v/>
      </c>
      <c r="AF6" s="11">
        <f>IF(D6="","",IF(AND(AF$4&gt;D6,AF$4&lt;=E6),B6,""))</f>
        <v/>
      </c>
      <c r="AG6" s="11">
        <f>IF(D6="","",IF(AND(AG$4&gt;D6,AG$4&lt;=E6),B6,""))</f>
        <v/>
      </c>
      <c r="AH6" s="11">
        <f>IF(D6="","",IF(AND(AH$4&gt;D6,AH$4&lt;=E6),B6,""))</f>
        <v/>
      </c>
      <c r="AI6" s="11">
        <f>IF(D6="","",IF(AND(AI$4&gt;D6,AI$4&lt;=E6),B6,""))</f>
        <v/>
      </c>
      <c r="AJ6" s="11">
        <f>IF(D6="","",IF(AND(AJ$4&gt;D6,AJ$4&lt;=E6),B6,""))</f>
        <v/>
      </c>
      <c r="AK6" s="11">
        <f>IF(D6="","",IF(AND(AK$4&gt;D6,AK$4&lt;=E6),B6,""))</f>
        <v/>
      </c>
      <c r="AL6" s="11">
        <f>IF(D6="","",IF(AND(AL$4&gt;D6,AL$4&lt;=E6),B6,""))</f>
        <v/>
      </c>
      <c r="AM6" s="11">
        <f>IF(D6="","",IF(AND(AM$4&gt;D6,AM$4&lt;=E6),B6,""))</f>
        <v/>
      </c>
      <c r="AN6" s="11">
        <f>IF(D6="","",IF(AND(AN$4&gt;D6,AN$4&lt;=E6),B6,""))</f>
        <v/>
      </c>
      <c r="AO6" s="11">
        <f>IF(D6="","",IF(AND(AO$4&gt;D6,AO$4&lt;=E6),B6,""))</f>
        <v/>
      </c>
      <c r="AP6" s="11">
        <f>IF(D6="","",IF(AND(AP$4&gt;D6,AP$4&lt;=E6),B6,""))</f>
        <v/>
      </c>
      <c r="AQ6" s="11">
        <f>IF(D6="","",IF(AND(AQ$4&gt;D6,AQ$4&lt;=E6),B6,""))</f>
        <v/>
      </c>
      <c r="AR6" s="11">
        <f>IF(D6="","",IF(AND(AR$4&gt;D6,AR$4&lt;=E6),B6,""))</f>
        <v/>
      </c>
      <c r="AS6" s="11">
        <f>IF(D6="","",IF(AND(AS$4&gt;D6,AS$4&lt;=E6),B6,""))</f>
        <v/>
      </c>
    </row>
    <row r="7">
      <c r="A7" s="10" t="inlineStr">
        <is>
          <t>C</t>
        </is>
      </c>
      <c r="B7" s="4" t="n">
        <v>1</v>
      </c>
      <c r="C7" s="4" t="n">
        <v>6</v>
      </c>
      <c r="D7" s="7" t="n"/>
      <c r="E7" s="4">
        <f>IF(D7="","",D7+C7)</f>
        <v/>
      </c>
      <c r="F7" s="11">
        <f>IF(D7="","",IF(AND(F$4&gt;D7,F$4&lt;=E7),B7,""))</f>
        <v/>
      </c>
      <c r="G7" s="11">
        <f>IF(D7="","",IF(AND(G$4&gt;D7,G$4&lt;=E7),B7,""))</f>
        <v/>
      </c>
      <c r="H7" s="11">
        <f>IF(D7="","",IF(AND(H$4&gt;D7,H$4&lt;=E7),B7,""))</f>
        <v/>
      </c>
      <c r="I7" s="11">
        <f>IF(D7="","",IF(AND(I$4&gt;D7,I$4&lt;=E7),B7,""))</f>
        <v/>
      </c>
      <c r="J7" s="11">
        <f>IF(D7="","",IF(AND(J$4&gt;D7,J$4&lt;=E7),B7,""))</f>
        <v/>
      </c>
      <c r="K7" s="11">
        <f>IF(D7="","",IF(AND(K$4&gt;D7,K$4&lt;=E7),B7,""))</f>
        <v/>
      </c>
      <c r="L7" s="11">
        <f>IF(D7="","",IF(AND(L$4&gt;D7,L$4&lt;=E7),B7,""))</f>
        <v/>
      </c>
      <c r="M7" s="11">
        <f>IF(D7="","",IF(AND(M$4&gt;D7,M$4&lt;=E7),B7,""))</f>
        <v/>
      </c>
      <c r="N7" s="11">
        <f>IF(D7="","",IF(AND(N$4&gt;D7,N$4&lt;=E7),B7,""))</f>
        <v/>
      </c>
      <c r="O7" s="11">
        <f>IF(D7="","",IF(AND(O$4&gt;D7,O$4&lt;=E7),B7,""))</f>
        <v/>
      </c>
      <c r="P7" s="11">
        <f>IF(D7="","",IF(AND(P$4&gt;D7,P$4&lt;=E7),B7,""))</f>
        <v/>
      </c>
      <c r="Q7" s="11">
        <f>IF(D7="","",IF(AND(Q$4&gt;D7,Q$4&lt;=E7),B7,""))</f>
        <v/>
      </c>
      <c r="R7" s="11">
        <f>IF(D7="","",IF(AND(R$4&gt;D7,R$4&lt;=E7),B7,""))</f>
        <v/>
      </c>
      <c r="S7" s="11">
        <f>IF(D7="","",IF(AND(S$4&gt;D7,S$4&lt;=E7),B7,""))</f>
        <v/>
      </c>
      <c r="T7" s="11">
        <f>IF(D7="","",IF(AND(T$4&gt;D7,T$4&lt;=E7),B7,""))</f>
        <v/>
      </c>
      <c r="U7" s="11">
        <f>IF(D7="","",IF(AND(U$4&gt;D7,U$4&lt;=E7),B7,""))</f>
        <v/>
      </c>
      <c r="V7" s="11">
        <f>IF(D7="","",IF(AND(V$4&gt;D7,V$4&lt;=E7),B7,""))</f>
        <v/>
      </c>
      <c r="W7" s="11">
        <f>IF(D7="","",IF(AND(W$4&gt;D7,W$4&lt;=E7),B7,""))</f>
        <v/>
      </c>
      <c r="X7" s="11">
        <f>IF(D7="","",IF(AND(X$4&gt;D7,X$4&lt;=E7),B7,""))</f>
        <v/>
      </c>
      <c r="Y7" s="11">
        <f>IF(D7="","",IF(AND(Y$4&gt;D7,Y$4&lt;=E7),B7,""))</f>
        <v/>
      </c>
      <c r="Z7" s="11">
        <f>IF(D7="","",IF(AND(Z$4&gt;D7,Z$4&lt;=E7),B7,""))</f>
        <v/>
      </c>
      <c r="AA7" s="11">
        <f>IF(D7="","",IF(AND(AA$4&gt;D7,AA$4&lt;=E7),B7,""))</f>
        <v/>
      </c>
      <c r="AB7" s="11">
        <f>IF(D7="","",IF(AND(AB$4&gt;D7,AB$4&lt;=E7),B7,""))</f>
        <v/>
      </c>
      <c r="AC7" s="11">
        <f>IF(D7="","",IF(AND(AC$4&gt;D7,AC$4&lt;=E7),B7,""))</f>
        <v/>
      </c>
      <c r="AD7" s="11">
        <f>IF(D7="","",IF(AND(AD$4&gt;D7,AD$4&lt;=E7),B7,""))</f>
        <v/>
      </c>
      <c r="AE7" s="11">
        <f>IF(D7="","",IF(AND(AE$4&gt;D7,AE$4&lt;=E7),B7,""))</f>
        <v/>
      </c>
      <c r="AF7" s="11">
        <f>IF(D7="","",IF(AND(AF$4&gt;D7,AF$4&lt;=E7),B7,""))</f>
        <v/>
      </c>
      <c r="AG7" s="11">
        <f>IF(D7="","",IF(AND(AG$4&gt;D7,AG$4&lt;=E7),B7,""))</f>
        <v/>
      </c>
      <c r="AH7" s="11">
        <f>IF(D7="","",IF(AND(AH$4&gt;D7,AH$4&lt;=E7),B7,""))</f>
        <v/>
      </c>
      <c r="AI7" s="11">
        <f>IF(D7="","",IF(AND(AI$4&gt;D7,AI$4&lt;=E7),B7,""))</f>
        <v/>
      </c>
      <c r="AJ7" s="11">
        <f>IF(D7="","",IF(AND(AJ$4&gt;D7,AJ$4&lt;=E7),B7,""))</f>
        <v/>
      </c>
      <c r="AK7" s="11">
        <f>IF(D7="","",IF(AND(AK$4&gt;D7,AK$4&lt;=E7),B7,""))</f>
        <v/>
      </c>
      <c r="AL7" s="11">
        <f>IF(D7="","",IF(AND(AL$4&gt;D7,AL$4&lt;=E7),B7,""))</f>
        <v/>
      </c>
      <c r="AM7" s="11">
        <f>IF(D7="","",IF(AND(AM$4&gt;D7,AM$4&lt;=E7),B7,""))</f>
        <v/>
      </c>
      <c r="AN7" s="11">
        <f>IF(D7="","",IF(AND(AN$4&gt;D7,AN$4&lt;=E7),B7,""))</f>
        <v/>
      </c>
      <c r="AO7" s="11">
        <f>IF(D7="","",IF(AND(AO$4&gt;D7,AO$4&lt;=E7),B7,""))</f>
        <v/>
      </c>
      <c r="AP7" s="11">
        <f>IF(D7="","",IF(AND(AP$4&gt;D7,AP$4&lt;=E7),B7,""))</f>
        <v/>
      </c>
      <c r="AQ7" s="11">
        <f>IF(D7="","",IF(AND(AQ$4&gt;D7,AQ$4&lt;=E7),B7,""))</f>
        <v/>
      </c>
      <c r="AR7" s="11">
        <f>IF(D7="","",IF(AND(AR$4&gt;D7,AR$4&lt;=E7),B7,""))</f>
        <v/>
      </c>
      <c r="AS7" s="11">
        <f>IF(D7="","",IF(AND(AS$4&gt;D7,AS$4&lt;=E7),B7,""))</f>
        <v/>
      </c>
    </row>
    <row r="8">
      <c r="A8" s="10" t="inlineStr">
        <is>
          <t>D</t>
        </is>
      </c>
      <c r="B8" s="4" t="n">
        <v>1</v>
      </c>
      <c r="C8" s="4" t="n">
        <v>4</v>
      </c>
      <c r="D8" s="7" t="n"/>
      <c r="E8" s="4">
        <f>IF(D8="","",D8+C8)</f>
        <v/>
      </c>
      <c r="F8" s="11">
        <f>IF(D8="","",IF(AND(F$4&gt;D8,F$4&lt;=E8),B8,""))</f>
        <v/>
      </c>
      <c r="G8" s="11">
        <f>IF(D8="","",IF(AND(G$4&gt;D8,G$4&lt;=E8),B8,""))</f>
        <v/>
      </c>
      <c r="H8" s="11">
        <f>IF(D8="","",IF(AND(H$4&gt;D8,H$4&lt;=E8),B8,""))</f>
        <v/>
      </c>
      <c r="I8" s="11">
        <f>IF(D8="","",IF(AND(I$4&gt;D8,I$4&lt;=E8),B8,""))</f>
        <v/>
      </c>
      <c r="J8" s="11">
        <f>IF(D8="","",IF(AND(J$4&gt;D8,J$4&lt;=E8),B8,""))</f>
        <v/>
      </c>
      <c r="K8" s="11">
        <f>IF(D8="","",IF(AND(K$4&gt;D8,K$4&lt;=E8),B8,""))</f>
        <v/>
      </c>
      <c r="L8" s="11">
        <f>IF(D8="","",IF(AND(L$4&gt;D8,L$4&lt;=E8),B8,""))</f>
        <v/>
      </c>
      <c r="M8" s="11">
        <f>IF(D8="","",IF(AND(M$4&gt;D8,M$4&lt;=E8),B8,""))</f>
        <v/>
      </c>
      <c r="N8" s="11">
        <f>IF(D8="","",IF(AND(N$4&gt;D8,N$4&lt;=E8),B8,""))</f>
        <v/>
      </c>
      <c r="O8" s="11">
        <f>IF(D8="","",IF(AND(O$4&gt;D8,O$4&lt;=E8),B8,""))</f>
        <v/>
      </c>
      <c r="P8" s="11">
        <f>IF(D8="","",IF(AND(P$4&gt;D8,P$4&lt;=E8),B8,""))</f>
        <v/>
      </c>
      <c r="Q8" s="11">
        <f>IF(D8="","",IF(AND(Q$4&gt;D8,Q$4&lt;=E8),B8,""))</f>
        <v/>
      </c>
      <c r="R8" s="11">
        <f>IF(D8="","",IF(AND(R$4&gt;D8,R$4&lt;=E8),B8,""))</f>
        <v/>
      </c>
      <c r="S8" s="11">
        <f>IF(D8="","",IF(AND(S$4&gt;D8,S$4&lt;=E8),B8,""))</f>
        <v/>
      </c>
      <c r="T8" s="11">
        <f>IF(D8="","",IF(AND(T$4&gt;D8,T$4&lt;=E8),B8,""))</f>
        <v/>
      </c>
      <c r="U8" s="11">
        <f>IF(D8="","",IF(AND(U$4&gt;D8,U$4&lt;=E8),B8,""))</f>
        <v/>
      </c>
      <c r="V8" s="11">
        <f>IF(D8="","",IF(AND(V$4&gt;D8,V$4&lt;=E8),B8,""))</f>
        <v/>
      </c>
      <c r="W8" s="11">
        <f>IF(D8="","",IF(AND(W$4&gt;D8,W$4&lt;=E8),B8,""))</f>
        <v/>
      </c>
      <c r="X8" s="11">
        <f>IF(D8="","",IF(AND(X$4&gt;D8,X$4&lt;=E8),B8,""))</f>
        <v/>
      </c>
      <c r="Y8" s="11">
        <f>IF(D8="","",IF(AND(Y$4&gt;D8,Y$4&lt;=E8),B8,""))</f>
        <v/>
      </c>
      <c r="Z8" s="11">
        <f>IF(D8="","",IF(AND(Z$4&gt;D8,Z$4&lt;=E8),B8,""))</f>
        <v/>
      </c>
      <c r="AA8" s="11">
        <f>IF(D8="","",IF(AND(AA$4&gt;D8,AA$4&lt;=E8),B8,""))</f>
        <v/>
      </c>
      <c r="AB8" s="11">
        <f>IF(D8="","",IF(AND(AB$4&gt;D8,AB$4&lt;=E8),B8,""))</f>
        <v/>
      </c>
      <c r="AC8" s="11">
        <f>IF(D8="","",IF(AND(AC$4&gt;D8,AC$4&lt;=E8),B8,""))</f>
        <v/>
      </c>
      <c r="AD8" s="11">
        <f>IF(D8="","",IF(AND(AD$4&gt;D8,AD$4&lt;=E8),B8,""))</f>
        <v/>
      </c>
      <c r="AE8" s="11">
        <f>IF(D8="","",IF(AND(AE$4&gt;D8,AE$4&lt;=E8),B8,""))</f>
        <v/>
      </c>
      <c r="AF8" s="11">
        <f>IF(D8="","",IF(AND(AF$4&gt;D8,AF$4&lt;=E8),B8,""))</f>
        <v/>
      </c>
      <c r="AG8" s="11">
        <f>IF(D8="","",IF(AND(AG$4&gt;D8,AG$4&lt;=E8),B8,""))</f>
        <v/>
      </c>
      <c r="AH8" s="11">
        <f>IF(D8="","",IF(AND(AH$4&gt;D8,AH$4&lt;=E8),B8,""))</f>
        <v/>
      </c>
      <c r="AI8" s="11">
        <f>IF(D8="","",IF(AND(AI$4&gt;D8,AI$4&lt;=E8),B8,""))</f>
        <v/>
      </c>
      <c r="AJ8" s="11">
        <f>IF(D8="","",IF(AND(AJ$4&gt;D8,AJ$4&lt;=E8),B8,""))</f>
        <v/>
      </c>
      <c r="AK8" s="11">
        <f>IF(D8="","",IF(AND(AK$4&gt;D8,AK$4&lt;=E8),B8,""))</f>
        <v/>
      </c>
      <c r="AL8" s="11">
        <f>IF(D8="","",IF(AND(AL$4&gt;D8,AL$4&lt;=E8),B8,""))</f>
        <v/>
      </c>
      <c r="AM8" s="11">
        <f>IF(D8="","",IF(AND(AM$4&gt;D8,AM$4&lt;=E8),B8,""))</f>
        <v/>
      </c>
      <c r="AN8" s="11">
        <f>IF(D8="","",IF(AND(AN$4&gt;D8,AN$4&lt;=E8),B8,""))</f>
        <v/>
      </c>
      <c r="AO8" s="11">
        <f>IF(D8="","",IF(AND(AO$4&gt;D8,AO$4&lt;=E8),B8,""))</f>
        <v/>
      </c>
      <c r="AP8" s="11">
        <f>IF(D8="","",IF(AND(AP$4&gt;D8,AP$4&lt;=E8),B8,""))</f>
        <v/>
      </c>
      <c r="AQ8" s="11">
        <f>IF(D8="","",IF(AND(AQ$4&gt;D8,AQ$4&lt;=E8),B8,""))</f>
        <v/>
      </c>
      <c r="AR8" s="11">
        <f>IF(D8="","",IF(AND(AR$4&gt;D8,AR$4&lt;=E8),B8,""))</f>
        <v/>
      </c>
      <c r="AS8" s="11">
        <f>IF(D8="","",IF(AND(AS$4&gt;D8,AS$4&lt;=E8),B8,""))</f>
        <v/>
      </c>
    </row>
    <row r="9">
      <c r="A9" s="10" t="inlineStr">
        <is>
          <t>E</t>
        </is>
      </c>
      <c r="B9" s="4" t="n">
        <v>2</v>
      </c>
      <c r="C9" s="4" t="n">
        <v>8</v>
      </c>
      <c r="D9" s="7" t="n"/>
      <c r="E9" s="4">
        <f>IF(D9="","",D9+C9)</f>
        <v/>
      </c>
      <c r="F9" s="11">
        <f>IF(D9="","",IF(AND(F$4&gt;D9,F$4&lt;=E9),B9,""))</f>
        <v/>
      </c>
      <c r="G9" s="11">
        <f>IF(D9="","",IF(AND(G$4&gt;D9,G$4&lt;=E9),B9,""))</f>
        <v/>
      </c>
      <c r="H9" s="11">
        <f>IF(D9="","",IF(AND(H$4&gt;D9,H$4&lt;=E9),B9,""))</f>
        <v/>
      </c>
      <c r="I9" s="11">
        <f>IF(D9="","",IF(AND(I$4&gt;D9,I$4&lt;=E9),B9,""))</f>
        <v/>
      </c>
      <c r="J9" s="11">
        <f>IF(D9="","",IF(AND(J$4&gt;D9,J$4&lt;=E9),B9,""))</f>
        <v/>
      </c>
      <c r="K9" s="11">
        <f>IF(D9="","",IF(AND(K$4&gt;D9,K$4&lt;=E9),B9,""))</f>
        <v/>
      </c>
      <c r="L9" s="11">
        <f>IF(D9="","",IF(AND(L$4&gt;D9,L$4&lt;=E9),B9,""))</f>
        <v/>
      </c>
      <c r="M9" s="11">
        <f>IF(D9="","",IF(AND(M$4&gt;D9,M$4&lt;=E9),B9,""))</f>
        <v/>
      </c>
      <c r="N9" s="11">
        <f>IF(D9="","",IF(AND(N$4&gt;D9,N$4&lt;=E9),B9,""))</f>
        <v/>
      </c>
      <c r="O9" s="11">
        <f>IF(D9="","",IF(AND(O$4&gt;D9,O$4&lt;=E9),B9,""))</f>
        <v/>
      </c>
      <c r="P9" s="11">
        <f>IF(D9="","",IF(AND(P$4&gt;D9,P$4&lt;=E9),B9,""))</f>
        <v/>
      </c>
      <c r="Q9" s="11">
        <f>IF(D9="","",IF(AND(Q$4&gt;D9,Q$4&lt;=E9),B9,""))</f>
        <v/>
      </c>
      <c r="R9" s="11">
        <f>IF(D9="","",IF(AND(R$4&gt;D9,R$4&lt;=E9),B9,""))</f>
        <v/>
      </c>
      <c r="S9" s="11">
        <f>IF(D9="","",IF(AND(S$4&gt;D9,S$4&lt;=E9),B9,""))</f>
        <v/>
      </c>
      <c r="T9" s="11">
        <f>IF(D9="","",IF(AND(T$4&gt;D9,T$4&lt;=E9),B9,""))</f>
        <v/>
      </c>
      <c r="U9" s="11">
        <f>IF(D9="","",IF(AND(U$4&gt;D9,U$4&lt;=E9),B9,""))</f>
        <v/>
      </c>
      <c r="V9" s="11">
        <f>IF(D9="","",IF(AND(V$4&gt;D9,V$4&lt;=E9),B9,""))</f>
        <v/>
      </c>
      <c r="W9" s="11">
        <f>IF(D9="","",IF(AND(W$4&gt;D9,W$4&lt;=E9),B9,""))</f>
        <v/>
      </c>
      <c r="X9" s="11">
        <f>IF(D9="","",IF(AND(X$4&gt;D9,X$4&lt;=E9),B9,""))</f>
        <v/>
      </c>
      <c r="Y9" s="11">
        <f>IF(D9="","",IF(AND(Y$4&gt;D9,Y$4&lt;=E9),B9,""))</f>
        <v/>
      </c>
      <c r="Z9" s="11">
        <f>IF(D9="","",IF(AND(Z$4&gt;D9,Z$4&lt;=E9),B9,""))</f>
        <v/>
      </c>
      <c r="AA9" s="11">
        <f>IF(D9="","",IF(AND(AA$4&gt;D9,AA$4&lt;=E9),B9,""))</f>
        <v/>
      </c>
      <c r="AB9" s="11">
        <f>IF(D9="","",IF(AND(AB$4&gt;D9,AB$4&lt;=E9),B9,""))</f>
        <v/>
      </c>
      <c r="AC9" s="11">
        <f>IF(D9="","",IF(AND(AC$4&gt;D9,AC$4&lt;=E9),B9,""))</f>
        <v/>
      </c>
      <c r="AD9" s="11">
        <f>IF(D9="","",IF(AND(AD$4&gt;D9,AD$4&lt;=E9),B9,""))</f>
        <v/>
      </c>
      <c r="AE9" s="11">
        <f>IF(D9="","",IF(AND(AE$4&gt;D9,AE$4&lt;=E9),B9,""))</f>
        <v/>
      </c>
      <c r="AF9" s="11">
        <f>IF(D9="","",IF(AND(AF$4&gt;D9,AF$4&lt;=E9),B9,""))</f>
        <v/>
      </c>
      <c r="AG9" s="11">
        <f>IF(D9="","",IF(AND(AG$4&gt;D9,AG$4&lt;=E9),B9,""))</f>
        <v/>
      </c>
      <c r="AH9" s="11">
        <f>IF(D9="","",IF(AND(AH$4&gt;D9,AH$4&lt;=E9),B9,""))</f>
        <v/>
      </c>
      <c r="AI9" s="11">
        <f>IF(D9="","",IF(AND(AI$4&gt;D9,AI$4&lt;=E9),B9,""))</f>
        <v/>
      </c>
      <c r="AJ9" s="11">
        <f>IF(D9="","",IF(AND(AJ$4&gt;D9,AJ$4&lt;=E9),B9,""))</f>
        <v/>
      </c>
      <c r="AK9" s="11">
        <f>IF(D9="","",IF(AND(AK$4&gt;D9,AK$4&lt;=E9),B9,""))</f>
        <v/>
      </c>
      <c r="AL9" s="11">
        <f>IF(D9="","",IF(AND(AL$4&gt;D9,AL$4&lt;=E9),B9,""))</f>
        <v/>
      </c>
      <c r="AM9" s="11">
        <f>IF(D9="","",IF(AND(AM$4&gt;D9,AM$4&lt;=E9),B9,""))</f>
        <v/>
      </c>
      <c r="AN9" s="11">
        <f>IF(D9="","",IF(AND(AN$4&gt;D9,AN$4&lt;=E9),B9,""))</f>
        <v/>
      </c>
      <c r="AO9" s="11">
        <f>IF(D9="","",IF(AND(AO$4&gt;D9,AO$4&lt;=E9),B9,""))</f>
        <v/>
      </c>
      <c r="AP9" s="11">
        <f>IF(D9="","",IF(AND(AP$4&gt;D9,AP$4&lt;=E9),B9,""))</f>
        <v/>
      </c>
      <c r="AQ9" s="11">
        <f>IF(D9="","",IF(AND(AQ$4&gt;D9,AQ$4&lt;=E9),B9,""))</f>
        <v/>
      </c>
      <c r="AR9" s="11">
        <f>IF(D9="","",IF(AND(AR$4&gt;D9,AR$4&lt;=E9),B9,""))</f>
        <v/>
      </c>
      <c r="AS9" s="11">
        <f>IF(D9="","",IF(AND(AS$4&gt;D9,AS$4&lt;=E9),B9,""))</f>
        <v/>
      </c>
    </row>
    <row r="10">
      <c r="A10" s="10" t="inlineStr">
        <is>
          <t>F</t>
        </is>
      </c>
      <c r="B10" s="4" t="n">
        <v>2</v>
      </c>
      <c r="C10" s="4" t="n">
        <v>5</v>
      </c>
      <c r="D10" s="7" t="n"/>
      <c r="E10" s="4">
        <f>IF(D10="","",D10+C10)</f>
        <v/>
      </c>
      <c r="F10" s="11">
        <f>IF(D10="","",IF(AND(F$4&gt;D10,F$4&lt;=E10),B10,""))</f>
        <v/>
      </c>
      <c r="G10" s="11">
        <f>IF(D10="","",IF(AND(G$4&gt;D10,G$4&lt;=E10),B10,""))</f>
        <v/>
      </c>
      <c r="H10" s="11">
        <f>IF(D10="","",IF(AND(H$4&gt;D10,H$4&lt;=E10),B10,""))</f>
        <v/>
      </c>
      <c r="I10" s="11">
        <f>IF(D10="","",IF(AND(I$4&gt;D10,I$4&lt;=E10),B10,""))</f>
        <v/>
      </c>
      <c r="J10" s="11">
        <f>IF(D10="","",IF(AND(J$4&gt;D10,J$4&lt;=E10),B10,""))</f>
        <v/>
      </c>
      <c r="K10" s="11">
        <f>IF(D10="","",IF(AND(K$4&gt;D10,K$4&lt;=E10),B10,""))</f>
        <v/>
      </c>
      <c r="L10" s="11">
        <f>IF(D10="","",IF(AND(L$4&gt;D10,L$4&lt;=E10),B10,""))</f>
        <v/>
      </c>
      <c r="M10" s="11">
        <f>IF(D10="","",IF(AND(M$4&gt;D10,M$4&lt;=E10),B10,""))</f>
        <v/>
      </c>
      <c r="N10" s="11">
        <f>IF(D10="","",IF(AND(N$4&gt;D10,N$4&lt;=E10),B10,""))</f>
        <v/>
      </c>
      <c r="O10" s="11">
        <f>IF(D10="","",IF(AND(O$4&gt;D10,O$4&lt;=E10),B10,""))</f>
        <v/>
      </c>
      <c r="P10" s="11">
        <f>IF(D10="","",IF(AND(P$4&gt;D10,P$4&lt;=E10),B10,""))</f>
        <v/>
      </c>
      <c r="Q10" s="11">
        <f>IF(D10="","",IF(AND(Q$4&gt;D10,Q$4&lt;=E10),B10,""))</f>
        <v/>
      </c>
      <c r="R10" s="11">
        <f>IF(D10="","",IF(AND(R$4&gt;D10,R$4&lt;=E10),B10,""))</f>
        <v/>
      </c>
      <c r="S10" s="11">
        <f>IF(D10="","",IF(AND(S$4&gt;D10,S$4&lt;=E10),B10,""))</f>
        <v/>
      </c>
      <c r="T10" s="11">
        <f>IF(D10="","",IF(AND(T$4&gt;D10,T$4&lt;=E10),B10,""))</f>
        <v/>
      </c>
      <c r="U10" s="11">
        <f>IF(D10="","",IF(AND(U$4&gt;D10,U$4&lt;=E10),B10,""))</f>
        <v/>
      </c>
      <c r="V10" s="11">
        <f>IF(D10="","",IF(AND(V$4&gt;D10,V$4&lt;=E10),B10,""))</f>
        <v/>
      </c>
      <c r="W10" s="11">
        <f>IF(D10="","",IF(AND(W$4&gt;D10,W$4&lt;=E10),B10,""))</f>
        <v/>
      </c>
      <c r="X10" s="11">
        <f>IF(D10="","",IF(AND(X$4&gt;D10,X$4&lt;=E10),B10,""))</f>
        <v/>
      </c>
      <c r="Y10" s="11">
        <f>IF(D10="","",IF(AND(Y$4&gt;D10,Y$4&lt;=E10),B10,""))</f>
        <v/>
      </c>
      <c r="Z10" s="11">
        <f>IF(D10="","",IF(AND(Z$4&gt;D10,Z$4&lt;=E10),B10,""))</f>
        <v/>
      </c>
      <c r="AA10" s="11">
        <f>IF(D10="","",IF(AND(AA$4&gt;D10,AA$4&lt;=E10),B10,""))</f>
        <v/>
      </c>
      <c r="AB10" s="11">
        <f>IF(D10="","",IF(AND(AB$4&gt;D10,AB$4&lt;=E10),B10,""))</f>
        <v/>
      </c>
      <c r="AC10" s="11">
        <f>IF(D10="","",IF(AND(AC$4&gt;D10,AC$4&lt;=E10),B10,""))</f>
        <v/>
      </c>
      <c r="AD10" s="11">
        <f>IF(D10="","",IF(AND(AD$4&gt;D10,AD$4&lt;=E10),B10,""))</f>
        <v/>
      </c>
      <c r="AE10" s="11">
        <f>IF(D10="","",IF(AND(AE$4&gt;D10,AE$4&lt;=E10),B10,""))</f>
        <v/>
      </c>
      <c r="AF10" s="11">
        <f>IF(D10="","",IF(AND(AF$4&gt;D10,AF$4&lt;=E10),B10,""))</f>
        <v/>
      </c>
      <c r="AG10" s="11">
        <f>IF(D10="","",IF(AND(AG$4&gt;D10,AG$4&lt;=E10),B10,""))</f>
        <v/>
      </c>
      <c r="AH10" s="11">
        <f>IF(D10="","",IF(AND(AH$4&gt;D10,AH$4&lt;=E10),B10,""))</f>
        <v/>
      </c>
      <c r="AI10" s="11">
        <f>IF(D10="","",IF(AND(AI$4&gt;D10,AI$4&lt;=E10),B10,""))</f>
        <v/>
      </c>
      <c r="AJ10" s="11">
        <f>IF(D10="","",IF(AND(AJ$4&gt;D10,AJ$4&lt;=E10),B10,""))</f>
        <v/>
      </c>
      <c r="AK10" s="11">
        <f>IF(D10="","",IF(AND(AK$4&gt;D10,AK$4&lt;=E10),B10,""))</f>
        <v/>
      </c>
      <c r="AL10" s="11">
        <f>IF(D10="","",IF(AND(AL$4&gt;D10,AL$4&lt;=E10),B10,""))</f>
        <v/>
      </c>
      <c r="AM10" s="11">
        <f>IF(D10="","",IF(AND(AM$4&gt;D10,AM$4&lt;=E10),B10,""))</f>
        <v/>
      </c>
      <c r="AN10" s="11">
        <f>IF(D10="","",IF(AND(AN$4&gt;D10,AN$4&lt;=E10),B10,""))</f>
        <v/>
      </c>
      <c r="AO10" s="11">
        <f>IF(D10="","",IF(AND(AO$4&gt;D10,AO$4&lt;=E10),B10,""))</f>
        <v/>
      </c>
      <c r="AP10" s="11">
        <f>IF(D10="","",IF(AND(AP$4&gt;D10,AP$4&lt;=E10),B10,""))</f>
        <v/>
      </c>
      <c r="AQ10" s="11">
        <f>IF(D10="","",IF(AND(AQ$4&gt;D10,AQ$4&lt;=E10),B10,""))</f>
        <v/>
      </c>
      <c r="AR10" s="11">
        <f>IF(D10="","",IF(AND(AR$4&gt;D10,AR$4&lt;=E10),B10,""))</f>
        <v/>
      </c>
      <c r="AS10" s="11">
        <f>IF(D10="","",IF(AND(AS$4&gt;D10,AS$4&lt;=E10),B10,""))</f>
        <v/>
      </c>
    </row>
    <row r="11">
      <c r="A11" s="10" t="inlineStr">
        <is>
          <t>G</t>
        </is>
      </c>
      <c r="B11" s="4" t="n">
        <v>1</v>
      </c>
      <c r="C11" s="4" t="n">
        <v>3</v>
      </c>
      <c r="D11" s="7" t="n"/>
      <c r="E11" s="4">
        <f>IF(D11="","",D11+C11)</f>
        <v/>
      </c>
      <c r="F11" s="11">
        <f>IF(D11="","",IF(AND(F$4&gt;D11,F$4&lt;=E11),B11,""))</f>
        <v/>
      </c>
      <c r="G11" s="11">
        <f>IF(D11="","",IF(AND(G$4&gt;D11,G$4&lt;=E11),B11,""))</f>
        <v/>
      </c>
      <c r="H11" s="11">
        <f>IF(D11="","",IF(AND(H$4&gt;D11,H$4&lt;=E11),B11,""))</f>
        <v/>
      </c>
      <c r="I11" s="11">
        <f>IF(D11="","",IF(AND(I$4&gt;D11,I$4&lt;=E11),B11,""))</f>
        <v/>
      </c>
      <c r="J11" s="11">
        <f>IF(D11="","",IF(AND(J$4&gt;D11,J$4&lt;=E11),B11,""))</f>
        <v/>
      </c>
      <c r="K11" s="11">
        <f>IF(D11="","",IF(AND(K$4&gt;D11,K$4&lt;=E11),B11,""))</f>
        <v/>
      </c>
      <c r="L11" s="11">
        <f>IF(D11="","",IF(AND(L$4&gt;D11,L$4&lt;=E11),B11,""))</f>
        <v/>
      </c>
      <c r="M11" s="11">
        <f>IF(D11="","",IF(AND(M$4&gt;D11,M$4&lt;=E11),B11,""))</f>
        <v/>
      </c>
      <c r="N11" s="11">
        <f>IF(D11="","",IF(AND(N$4&gt;D11,N$4&lt;=E11),B11,""))</f>
        <v/>
      </c>
      <c r="O11" s="11">
        <f>IF(D11="","",IF(AND(O$4&gt;D11,O$4&lt;=E11),B11,""))</f>
        <v/>
      </c>
      <c r="P11" s="11">
        <f>IF(D11="","",IF(AND(P$4&gt;D11,P$4&lt;=E11),B11,""))</f>
        <v/>
      </c>
      <c r="Q11" s="11">
        <f>IF(D11="","",IF(AND(Q$4&gt;D11,Q$4&lt;=E11),B11,""))</f>
        <v/>
      </c>
      <c r="R11" s="11">
        <f>IF(D11="","",IF(AND(R$4&gt;D11,R$4&lt;=E11),B11,""))</f>
        <v/>
      </c>
      <c r="S11" s="11">
        <f>IF(D11="","",IF(AND(S$4&gt;D11,S$4&lt;=E11),B11,""))</f>
        <v/>
      </c>
      <c r="T11" s="11">
        <f>IF(D11="","",IF(AND(T$4&gt;D11,T$4&lt;=E11),B11,""))</f>
        <v/>
      </c>
      <c r="U11" s="11">
        <f>IF(D11="","",IF(AND(U$4&gt;D11,U$4&lt;=E11),B11,""))</f>
        <v/>
      </c>
      <c r="V11" s="11">
        <f>IF(D11="","",IF(AND(V$4&gt;D11,V$4&lt;=E11),B11,""))</f>
        <v/>
      </c>
      <c r="W11" s="11">
        <f>IF(D11="","",IF(AND(W$4&gt;D11,W$4&lt;=E11),B11,""))</f>
        <v/>
      </c>
      <c r="X11" s="11">
        <f>IF(D11="","",IF(AND(X$4&gt;D11,X$4&lt;=E11),B11,""))</f>
        <v/>
      </c>
      <c r="Y11" s="11">
        <f>IF(D11="","",IF(AND(Y$4&gt;D11,Y$4&lt;=E11),B11,""))</f>
        <v/>
      </c>
      <c r="Z11" s="11">
        <f>IF(D11="","",IF(AND(Z$4&gt;D11,Z$4&lt;=E11),B11,""))</f>
        <v/>
      </c>
      <c r="AA11" s="11">
        <f>IF(D11="","",IF(AND(AA$4&gt;D11,AA$4&lt;=E11),B11,""))</f>
        <v/>
      </c>
      <c r="AB11" s="11">
        <f>IF(D11="","",IF(AND(AB$4&gt;D11,AB$4&lt;=E11),B11,""))</f>
        <v/>
      </c>
      <c r="AC11" s="11">
        <f>IF(D11="","",IF(AND(AC$4&gt;D11,AC$4&lt;=E11),B11,""))</f>
        <v/>
      </c>
      <c r="AD11" s="11">
        <f>IF(D11="","",IF(AND(AD$4&gt;D11,AD$4&lt;=E11),B11,""))</f>
        <v/>
      </c>
      <c r="AE11" s="11">
        <f>IF(D11="","",IF(AND(AE$4&gt;D11,AE$4&lt;=E11),B11,""))</f>
        <v/>
      </c>
      <c r="AF11" s="11">
        <f>IF(D11="","",IF(AND(AF$4&gt;D11,AF$4&lt;=E11),B11,""))</f>
        <v/>
      </c>
      <c r="AG11" s="11">
        <f>IF(D11="","",IF(AND(AG$4&gt;D11,AG$4&lt;=E11),B11,""))</f>
        <v/>
      </c>
      <c r="AH11" s="11">
        <f>IF(D11="","",IF(AND(AH$4&gt;D11,AH$4&lt;=E11),B11,""))</f>
        <v/>
      </c>
      <c r="AI11" s="11">
        <f>IF(D11="","",IF(AND(AI$4&gt;D11,AI$4&lt;=E11),B11,""))</f>
        <v/>
      </c>
      <c r="AJ11" s="11">
        <f>IF(D11="","",IF(AND(AJ$4&gt;D11,AJ$4&lt;=E11),B11,""))</f>
        <v/>
      </c>
      <c r="AK11" s="11">
        <f>IF(D11="","",IF(AND(AK$4&gt;D11,AK$4&lt;=E11),B11,""))</f>
        <v/>
      </c>
      <c r="AL11" s="11">
        <f>IF(D11="","",IF(AND(AL$4&gt;D11,AL$4&lt;=E11),B11,""))</f>
        <v/>
      </c>
      <c r="AM11" s="11">
        <f>IF(D11="","",IF(AND(AM$4&gt;D11,AM$4&lt;=E11),B11,""))</f>
        <v/>
      </c>
      <c r="AN11" s="11">
        <f>IF(D11="","",IF(AND(AN$4&gt;D11,AN$4&lt;=E11),B11,""))</f>
        <v/>
      </c>
      <c r="AO11" s="11">
        <f>IF(D11="","",IF(AND(AO$4&gt;D11,AO$4&lt;=E11),B11,""))</f>
        <v/>
      </c>
      <c r="AP11" s="11">
        <f>IF(D11="","",IF(AND(AP$4&gt;D11,AP$4&lt;=E11),B11,""))</f>
        <v/>
      </c>
      <c r="AQ11" s="11">
        <f>IF(D11="","",IF(AND(AQ$4&gt;D11,AQ$4&lt;=E11),B11,""))</f>
        <v/>
      </c>
      <c r="AR11" s="11">
        <f>IF(D11="","",IF(AND(AR$4&gt;D11,AR$4&lt;=E11),B11,""))</f>
        <v/>
      </c>
      <c r="AS11" s="11">
        <f>IF(D11="","",IF(AND(AS$4&gt;D11,AS$4&lt;=E11),B11,""))</f>
        <v/>
      </c>
    </row>
    <row r="12">
      <c r="A12" s="10" t="inlineStr">
        <is>
          <t>H</t>
        </is>
      </c>
      <c r="B12" s="4" t="n">
        <v>2</v>
      </c>
      <c r="C12" s="4" t="n">
        <v>4</v>
      </c>
      <c r="D12" s="7" t="n"/>
      <c r="E12" s="4">
        <f>IF(D12="","",D12+C12)</f>
        <v/>
      </c>
      <c r="F12" s="11">
        <f>IF(D12="","",IF(AND(F$4&gt;D12,F$4&lt;=E12),B12,""))</f>
        <v/>
      </c>
      <c r="G12" s="11">
        <f>IF(D12="","",IF(AND(G$4&gt;D12,G$4&lt;=E12),B12,""))</f>
        <v/>
      </c>
      <c r="H12" s="11">
        <f>IF(D12="","",IF(AND(H$4&gt;D12,H$4&lt;=E12),B12,""))</f>
        <v/>
      </c>
      <c r="I12" s="11">
        <f>IF(D12="","",IF(AND(I$4&gt;D12,I$4&lt;=E12),B12,""))</f>
        <v/>
      </c>
      <c r="J12" s="11">
        <f>IF(D12="","",IF(AND(J$4&gt;D12,J$4&lt;=E12),B12,""))</f>
        <v/>
      </c>
      <c r="K12" s="11">
        <f>IF(D12="","",IF(AND(K$4&gt;D12,K$4&lt;=E12),B12,""))</f>
        <v/>
      </c>
      <c r="L12" s="11">
        <f>IF(D12="","",IF(AND(L$4&gt;D12,L$4&lt;=E12),B12,""))</f>
        <v/>
      </c>
      <c r="M12" s="11">
        <f>IF(D12="","",IF(AND(M$4&gt;D12,M$4&lt;=E12),B12,""))</f>
        <v/>
      </c>
      <c r="N12" s="11">
        <f>IF(D12="","",IF(AND(N$4&gt;D12,N$4&lt;=E12),B12,""))</f>
        <v/>
      </c>
      <c r="O12" s="11">
        <f>IF(D12="","",IF(AND(O$4&gt;D12,O$4&lt;=E12),B12,""))</f>
        <v/>
      </c>
      <c r="P12" s="11">
        <f>IF(D12="","",IF(AND(P$4&gt;D12,P$4&lt;=E12),B12,""))</f>
        <v/>
      </c>
      <c r="Q12" s="11">
        <f>IF(D12="","",IF(AND(Q$4&gt;D12,Q$4&lt;=E12),B12,""))</f>
        <v/>
      </c>
      <c r="R12" s="11">
        <f>IF(D12="","",IF(AND(R$4&gt;D12,R$4&lt;=E12),B12,""))</f>
        <v/>
      </c>
      <c r="S12" s="11">
        <f>IF(D12="","",IF(AND(S$4&gt;D12,S$4&lt;=E12),B12,""))</f>
        <v/>
      </c>
      <c r="T12" s="11">
        <f>IF(D12="","",IF(AND(T$4&gt;D12,T$4&lt;=E12),B12,""))</f>
        <v/>
      </c>
      <c r="U12" s="11">
        <f>IF(D12="","",IF(AND(U$4&gt;D12,U$4&lt;=E12),B12,""))</f>
        <v/>
      </c>
      <c r="V12" s="11">
        <f>IF(D12="","",IF(AND(V$4&gt;D12,V$4&lt;=E12),B12,""))</f>
        <v/>
      </c>
      <c r="W12" s="11">
        <f>IF(D12="","",IF(AND(W$4&gt;D12,W$4&lt;=E12),B12,""))</f>
        <v/>
      </c>
      <c r="X12" s="11">
        <f>IF(D12="","",IF(AND(X$4&gt;D12,X$4&lt;=E12),B12,""))</f>
        <v/>
      </c>
      <c r="Y12" s="11">
        <f>IF(D12="","",IF(AND(Y$4&gt;D12,Y$4&lt;=E12),B12,""))</f>
        <v/>
      </c>
      <c r="Z12" s="11">
        <f>IF(D12="","",IF(AND(Z$4&gt;D12,Z$4&lt;=E12),B12,""))</f>
        <v/>
      </c>
      <c r="AA12" s="11">
        <f>IF(D12="","",IF(AND(AA$4&gt;D12,AA$4&lt;=E12),B12,""))</f>
        <v/>
      </c>
      <c r="AB12" s="11">
        <f>IF(D12="","",IF(AND(AB$4&gt;D12,AB$4&lt;=E12),B12,""))</f>
        <v/>
      </c>
      <c r="AC12" s="11">
        <f>IF(D12="","",IF(AND(AC$4&gt;D12,AC$4&lt;=E12),B12,""))</f>
        <v/>
      </c>
      <c r="AD12" s="11">
        <f>IF(D12="","",IF(AND(AD$4&gt;D12,AD$4&lt;=E12),B12,""))</f>
        <v/>
      </c>
      <c r="AE12" s="11">
        <f>IF(D12="","",IF(AND(AE$4&gt;D12,AE$4&lt;=E12),B12,""))</f>
        <v/>
      </c>
      <c r="AF12" s="11">
        <f>IF(D12="","",IF(AND(AF$4&gt;D12,AF$4&lt;=E12),B12,""))</f>
        <v/>
      </c>
      <c r="AG12" s="11">
        <f>IF(D12="","",IF(AND(AG$4&gt;D12,AG$4&lt;=E12),B12,""))</f>
        <v/>
      </c>
      <c r="AH12" s="11">
        <f>IF(D12="","",IF(AND(AH$4&gt;D12,AH$4&lt;=E12),B12,""))</f>
        <v/>
      </c>
      <c r="AI12" s="11">
        <f>IF(D12="","",IF(AND(AI$4&gt;D12,AI$4&lt;=E12),B12,""))</f>
        <v/>
      </c>
      <c r="AJ12" s="11">
        <f>IF(D12="","",IF(AND(AJ$4&gt;D12,AJ$4&lt;=E12),B12,""))</f>
        <v/>
      </c>
      <c r="AK12" s="11">
        <f>IF(D12="","",IF(AND(AK$4&gt;D12,AK$4&lt;=E12),B12,""))</f>
        <v/>
      </c>
      <c r="AL12" s="11">
        <f>IF(D12="","",IF(AND(AL$4&gt;D12,AL$4&lt;=E12),B12,""))</f>
        <v/>
      </c>
      <c r="AM12" s="11">
        <f>IF(D12="","",IF(AND(AM$4&gt;D12,AM$4&lt;=E12),B12,""))</f>
        <v/>
      </c>
      <c r="AN12" s="11">
        <f>IF(D12="","",IF(AND(AN$4&gt;D12,AN$4&lt;=E12),B12,""))</f>
        <v/>
      </c>
      <c r="AO12" s="11">
        <f>IF(D12="","",IF(AND(AO$4&gt;D12,AO$4&lt;=E12),B12,""))</f>
        <v/>
      </c>
      <c r="AP12" s="11">
        <f>IF(D12="","",IF(AND(AP$4&gt;D12,AP$4&lt;=E12),B12,""))</f>
        <v/>
      </c>
      <c r="AQ12" s="11">
        <f>IF(D12="","",IF(AND(AQ$4&gt;D12,AQ$4&lt;=E12),B12,""))</f>
        <v/>
      </c>
      <c r="AR12" s="11">
        <f>IF(D12="","",IF(AND(AR$4&gt;D12,AR$4&lt;=E12),B12,""))</f>
        <v/>
      </c>
      <c r="AS12" s="11">
        <f>IF(D12="","",IF(AND(AS$4&gt;D12,AS$4&lt;=E12),B12,""))</f>
        <v/>
      </c>
    </row>
    <row r="13">
      <c r="A13" s="10" t="inlineStr">
        <is>
          <t>I</t>
        </is>
      </c>
      <c r="B13" s="4" t="n">
        <v>2</v>
      </c>
      <c r="C13" s="4" t="n">
        <v>2</v>
      </c>
      <c r="D13" s="7" t="n"/>
      <c r="E13" s="4">
        <f>IF(D13="","",D13+C13)</f>
        <v/>
      </c>
      <c r="F13" s="11">
        <f>IF(D13="","",IF(AND(F$4&gt;D13,F$4&lt;=E13),B13,""))</f>
        <v/>
      </c>
      <c r="G13" s="11">
        <f>IF(D13="","",IF(AND(G$4&gt;D13,G$4&lt;=E13),B13,""))</f>
        <v/>
      </c>
      <c r="H13" s="11">
        <f>IF(D13="","",IF(AND(H$4&gt;D13,H$4&lt;=E13),B13,""))</f>
        <v/>
      </c>
      <c r="I13" s="11">
        <f>IF(D13="","",IF(AND(I$4&gt;D13,I$4&lt;=E13),B13,""))</f>
        <v/>
      </c>
      <c r="J13" s="11">
        <f>IF(D13="","",IF(AND(J$4&gt;D13,J$4&lt;=E13),B13,""))</f>
        <v/>
      </c>
      <c r="K13" s="11">
        <f>IF(D13="","",IF(AND(K$4&gt;D13,K$4&lt;=E13),B13,""))</f>
        <v/>
      </c>
      <c r="L13" s="11">
        <f>IF(D13="","",IF(AND(L$4&gt;D13,L$4&lt;=E13),B13,""))</f>
        <v/>
      </c>
      <c r="M13" s="11">
        <f>IF(D13="","",IF(AND(M$4&gt;D13,M$4&lt;=E13),B13,""))</f>
        <v/>
      </c>
      <c r="N13" s="11">
        <f>IF(D13="","",IF(AND(N$4&gt;D13,N$4&lt;=E13),B13,""))</f>
        <v/>
      </c>
      <c r="O13" s="11">
        <f>IF(D13="","",IF(AND(O$4&gt;D13,O$4&lt;=E13),B13,""))</f>
        <v/>
      </c>
      <c r="P13" s="11">
        <f>IF(D13="","",IF(AND(P$4&gt;D13,P$4&lt;=E13),B13,""))</f>
        <v/>
      </c>
      <c r="Q13" s="11">
        <f>IF(D13="","",IF(AND(Q$4&gt;D13,Q$4&lt;=E13),B13,""))</f>
        <v/>
      </c>
      <c r="R13" s="11">
        <f>IF(D13="","",IF(AND(R$4&gt;D13,R$4&lt;=E13),B13,""))</f>
        <v/>
      </c>
      <c r="S13" s="11">
        <f>IF(D13="","",IF(AND(S$4&gt;D13,S$4&lt;=E13),B13,""))</f>
        <v/>
      </c>
      <c r="T13" s="11">
        <f>IF(D13="","",IF(AND(T$4&gt;D13,T$4&lt;=E13),B13,""))</f>
        <v/>
      </c>
      <c r="U13" s="11">
        <f>IF(D13="","",IF(AND(U$4&gt;D13,U$4&lt;=E13),B13,""))</f>
        <v/>
      </c>
      <c r="V13" s="11">
        <f>IF(D13="","",IF(AND(V$4&gt;D13,V$4&lt;=E13),B13,""))</f>
        <v/>
      </c>
      <c r="W13" s="11">
        <f>IF(D13="","",IF(AND(W$4&gt;D13,W$4&lt;=E13),B13,""))</f>
        <v/>
      </c>
      <c r="X13" s="11">
        <f>IF(D13="","",IF(AND(X$4&gt;D13,X$4&lt;=E13),B13,""))</f>
        <v/>
      </c>
      <c r="Y13" s="11">
        <f>IF(D13="","",IF(AND(Y$4&gt;D13,Y$4&lt;=E13),B13,""))</f>
        <v/>
      </c>
      <c r="Z13" s="11">
        <f>IF(D13="","",IF(AND(Z$4&gt;D13,Z$4&lt;=E13),B13,""))</f>
        <v/>
      </c>
      <c r="AA13" s="11">
        <f>IF(D13="","",IF(AND(AA$4&gt;D13,AA$4&lt;=E13),B13,""))</f>
        <v/>
      </c>
      <c r="AB13" s="11">
        <f>IF(D13="","",IF(AND(AB$4&gt;D13,AB$4&lt;=E13),B13,""))</f>
        <v/>
      </c>
      <c r="AC13" s="11">
        <f>IF(D13="","",IF(AND(AC$4&gt;D13,AC$4&lt;=E13),B13,""))</f>
        <v/>
      </c>
      <c r="AD13" s="11">
        <f>IF(D13="","",IF(AND(AD$4&gt;D13,AD$4&lt;=E13),B13,""))</f>
        <v/>
      </c>
      <c r="AE13" s="11">
        <f>IF(D13="","",IF(AND(AE$4&gt;D13,AE$4&lt;=E13),B13,""))</f>
        <v/>
      </c>
      <c r="AF13" s="11">
        <f>IF(D13="","",IF(AND(AF$4&gt;D13,AF$4&lt;=E13),B13,""))</f>
        <v/>
      </c>
      <c r="AG13" s="11">
        <f>IF(D13="","",IF(AND(AG$4&gt;D13,AG$4&lt;=E13),B13,""))</f>
        <v/>
      </c>
      <c r="AH13" s="11">
        <f>IF(D13="","",IF(AND(AH$4&gt;D13,AH$4&lt;=E13),B13,""))</f>
        <v/>
      </c>
      <c r="AI13" s="11">
        <f>IF(D13="","",IF(AND(AI$4&gt;D13,AI$4&lt;=E13),B13,""))</f>
        <v/>
      </c>
      <c r="AJ13" s="11">
        <f>IF(D13="","",IF(AND(AJ$4&gt;D13,AJ$4&lt;=E13),B13,""))</f>
        <v/>
      </c>
      <c r="AK13" s="11">
        <f>IF(D13="","",IF(AND(AK$4&gt;D13,AK$4&lt;=E13),B13,""))</f>
        <v/>
      </c>
      <c r="AL13" s="11">
        <f>IF(D13="","",IF(AND(AL$4&gt;D13,AL$4&lt;=E13),B13,""))</f>
        <v/>
      </c>
      <c r="AM13" s="11">
        <f>IF(D13="","",IF(AND(AM$4&gt;D13,AM$4&lt;=E13),B13,""))</f>
        <v/>
      </c>
      <c r="AN13" s="11">
        <f>IF(D13="","",IF(AND(AN$4&gt;D13,AN$4&lt;=E13),B13,""))</f>
        <v/>
      </c>
      <c r="AO13" s="11">
        <f>IF(D13="","",IF(AND(AO$4&gt;D13,AO$4&lt;=E13),B13,""))</f>
        <v/>
      </c>
      <c r="AP13" s="11">
        <f>IF(D13="","",IF(AND(AP$4&gt;D13,AP$4&lt;=E13),B13,""))</f>
        <v/>
      </c>
      <c r="AQ13" s="11">
        <f>IF(D13="","",IF(AND(AQ$4&gt;D13,AQ$4&lt;=E13),B13,""))</f>
        <v/>
      </c>
      <c r="AR13" s="11">
        <f>IF(D13="","",IF(AND(AR$4&gt;D13,AR$4&lt;=E13),B13,""))</f>
        <v/>
      </c>
      <c r="AS13" s="11">
        <f>IF(D13="","",IF(AND(AS$4&gt;D13,AS$4&lt;=E13),B13,""))</f>
        <v/>
      </c>
    </row>
    <row r="14">
      <c r="A14" s="8" t="inlineStr">
        <is>
          <t>Load</t>
        </is>
      </c>
      <c r="F14" s="12">
        <f>SUM(F5:F13)</f>
        <v/>
      </c>
      <c r="G14" s="12">
        <f>SUM(G5:G13)</f>
        <v/>
      </c>
      <c r="H14" s="12">
        <f>SUM(H5:H13)</f>
        <v/>
      </c>
      <c r="I14" s="12">
        <f>SUM(I5:I13)</f>
        <v/>
      </c>
      <c r="J14" s="12">
        <f>SUM(J5:J13)</f>
        <v/>
      </c>
      <c r="K14" s="12">
        <f>SUM(K5:K13)</f>
        <v/>
      </c>
      <c r="L14" s="12">
        <f>SUM(L5:L13)</f>
        <v/>
      </c>
      <c r="M14" s="12">
        <f>SUM(M5:M13)</f>
        <v/>
      </c>
      <c r="N14" s="12">
        <f>SUM(N5:N13)</f>
        <v/>
      </c>
      <c r="O14" s="12">
        <f>SUM(O5:O13)</f>
        <v/>
      </c>
      <c r="P14" s="12">
        <f>SUM(P5:P13)</f>
        <v/>
      </c>
      <c r="Q14" s="12">
        <f>SUM(Q5:Q13)</f>
        <v/>
      </c>
      <c r="R14" s="12">
        <f>SUM(R5:R13)</f>
        <v/>
      </c>
      <c r="S14" s="12">
        <f>SUM(S5:S13)</f>
        <v/>
      </c>
      <c r="T14" s="12">
        <f>SUM(T5:T13)</f>
        <v/>
      </c>
      <c r="U14" s="12">
        <f>SUM(U5:U13)</f>
        <v/>
      </c>
      <c r="V14" s="12">
        <f>SUM(V5:V13)</f>
        <v/>
      </c>
      <c r="W14" s="12">
        <f>SUM(W5:W13)</f>
        <v/>
      </c>
      <c r="X14" s="12">
        <f>SUM(X5:X13)</f>
        <v/>
      </c>
      <c r="Y14" s="12">
        <f>SUM(Y5:Y13)</f>
        <v/>
      </c>
      <c r="Z14" s="12">
        <f>SUM(Z5:Z13)</f>
        <v/>
      </c>
      <c r="AA14" s="12">
        <f>SUM(AA5:AA13)</f>
        <v/>
      </c>
      <c r="AB14" s="12">
        <f>SUM(AB5:AB13)</f>
        <v/>
      </c>
      <c r="AC14" s="12">
        <f>SUM(AC5:AC13)</f>
        <v/>
      </c>
      <c r="AD14" s="12">
        <f>SUM(AD5:AD13)</f>
        <v/>
      </c>
      <c r="AE14" s="12">
        <f>SUM(AE5:AE13)</f>
        <v/>
      </c>
      <c r="AF14" s="12">
        <f>SUM(AF5:AF13)</f>
        <v/>
      </c>
      <c r="AG14" s="12">
        <f>SUM(AG5:AG13)</f>
        <v/>
      </c>
      <c r="AH14" s="12">
        <f>SUM(AH5:AH13)</f>
        <v/>
      </c>
      <c r="AI14" s="12">
        <f>SUM(AI5:AI13)</f>
        <v/>
      </c>
      <c r="AJ14" s="12">
        <f>SUM(AJ5:AJ13)</f>
        <v/>
      </c>
      <c r="AK14" s="12">
        <f>SUM(AK5:AK13)</f>
        <v/>
      </c>
      <c r="AL14" s="12">
        <f>SUM(AL5:AL13)</f>
        <v/>
      </c>
      <c r="AM14" s="12">
        <f>SUM(AM5:AM13)</f>
        <v/>
      </c>
      <c r="AN14" s="12">
        <f>SUM(AN5:AN13)</f>
        <v/>
      </c>
      <c r="AO14" s="12">
        <f>SUM(AO5:AO13)</f>
        <v/>
      </c>
      <c r="AP14" s="12">
        <f>SUM(AP5:AP13)</f>
        <v/>
      </c>
      <c r="AQ14" s="12">
        <f>SUM(AQ5:AQ13)</f>
        <v/>
      </c>
      <c r="AR14" s="12">
        <f>SUM(AR5:AR13)</f>
        <v/>
      </c>
      <c r="AS14" s="12">
        <f>SUM(AS5:AS13)</f>
        <v/>
      </c>
    </row>
    <row r="15">
      <c r="A15" s="8" t="inlineStr">
        <is>
          <t>Available</t>
        </is>
      </c>
      <c r="F15" s="11" t="n">
        <v>2</v>
      </c>
      <c r="G15" s="11" t="n">
        <v>2</v>
      </c>
      <c r="H15" s="11" t="n">
        <v>2</v>
      </c>
      <c r="I15" s="11" t="n">
        <v>2</v>
      </c>
      <c r="J15" s="11" t="n">
        <v>2</v>
      </c>
      <c r="K15" s="11" t="n">
        <v>2</v>
      </c>
      <c r="L15" s="11" t="n">
        <v>2</v>
      </c>
      <c r="M15" s="11" t="n">
        <v>2</v>
      </c>
      <c r="N15" s="11" t="n">
        <v>2</v>
      </c>
      <c r="O15" s="11" t="n">
        <v>2</v>
      </c>
      <c r="P15" s="11" t="n">
        <v>2</v>
      </c>
      <c r="Q15" s="11" t="n">
        <v>2</v>
      </c>
      <c r="R15" s="11" t="n">
        <v>2</v>
      </c>
      <c r="S15" s="11" t="n">
        <v>2</v>
      </c>
      <c r="T15" s="11" t="n">
        <v>2</v>
      </c>
      <c r="U15" s="11" t="n">
        <v>2</v>
      </c>
      <c r="V15" s="11" t="n">
        <v>2</v>
      </c>
      <c r="W15" s="11" t="n">
        <v>2</v>
      </c>
      <c r="X15" s="11" t="n">
        <v>2</v>
      </c>
      <c r="Y15" s="11" t="n">
        <v>2</v>
      </c>
      <c r="Z15" s="11" t="n">
        <v>2</v>
      </c>
      <c r="AA15" s="11" t="n">
        <v>2</v>
      </c>
      <c r="AB15" s="11" t="n">
        <v>2</v>
      </c>
      <c r="AC15" s="11" t="n">
        <v>2</v>
      </c>
      <c r="AD15" s="11" t="n">
        <v>2</v>
      </c>
      <c r="AE15" s="11" t="n">
        <v>2</v>
      </c>
      <c r="AF15" s="11" t="n">
        <v>2</v>
      </c>
      <c r="AG15" s="11" t="n">
        <v>2</v>
      </c>
      <c r="AH15" s="11" t="n">
        <v>2</v>
      </c>
      <c r="AI15" s="11" t="n">
        <v>2</v>
      </c>
      <c r="AJ15" s="11" t="n">
        <v>2</v>
      </c>
      <c r="AK15" s="11" t="n">
        <v>2</v>
      </c>
      <c r="AL15" s="11" t="n">
        <v>2</v>
      </c>
      <c r="AM15" s="11" t="n">
        <v>2</v>
      </c>
      <c r="AN15" s="11" t="n">
        <v>2</v>
      </c>
      <c r="AO15" s="11" t="n">
        <v>2</v>
      </c>
      <c r="AP15" s="11" t="n">
        <v>2</v>
      </c>
      <c r="AQ15" s="11" t="n">
        <v>2</v>
      </c>
      <c r="AR15" s="11" t="n">
        <v>2</v>
      </c>
      <c r="AS15" s="11" t="n">
        <v>2</v>
      </c>
    </row>
    <row r="16">
      <c r="A16" s="8" t="inlineStr">
        <is>
          <t>Over by</t>
        </is>
      </c>
      <c r="F16" s="13">
        <f>IF(F14&gt;F15,F14-F15,"")</f>
        <v/>
      </c>
      <c r="G16" s="13">
        <f>IF(G14&gt;G15,G14-G15,"")</f>
        <v/>
      </c>
      <c r="H16" s="13">
        <f>IF(H14&gt;H15,H14-H15,"")</f>
        <v/>
      </c>
      <c r="I16" s="13">
        <f>IF(I14&gt;I15,I14-I15,"")</f>
        <v/>
      </c>
      <c r="J16" s="13">
        <f>IF(J14&gt;J15,J14-J15,"")</f>
        <v/>
      </c>
      <c r="K16" s="13">
        <f>IF(K14&gt;K15,K14-K15,"")</f>
        <v/>
      </c>
      <c r="L16" s="13">
        <f>IF(L14&gt;L15,L14-L15,"")</f>
        <v/>
      </c>
      <c r="M16" s="13">
        <f>IF(M14&gt;M15,M14-M15,"")</f>
        <v/>
      </c>
      <c r="N16" s="13">
        <f>IF(N14&gt;N15,N14-N15,"")</f>
        <v/>
      </c>
      <c r="O16" s="13">
        <f>IF(O14&gt;O15,O14-O15,"")</f>
        <v/>
      </c>
      <c r="P16" s="13">
        <f>IF(P14&gt;P15,P14-P15,"")</f>
        <v/>
      </c>
      <c r="Q16" s="13">
        <f>IF(Q14&gt;Q15,Q14-Q15,"")</f>
        <v/>
      </c>
      <c r="R16" s="13">
        <f>IF(R14&gt;R15,R14-R15,"")</f>
        <v/>
      </c>
      <c r="S16" s="13">
        <f>IF(S14&gt;S15,S14-S15,"")</f>
        <v/>
      </c>
      <c r="T16" s="13">
        <f>IF(T14&gt;T15,T14-T15,"")</f>
        <v/>
      </c>
      <c r="U16" s="13">
        <f>IF(U14&gt;U15,U14-U15,"")</f>
        <v/>
      </c>
      <c r="V16" s="13">
        <f>IF(V14&gt;V15,V14-V15,"")</f>
        <v/>
      </c>
      <c r="W16" s="13">
        <f>IF(W14&gt;W15,W14-W15,"")</f>
        <v/>
      </c>
      <c r="X16" s="13">
        <f>IF(X14&gt;X15,X14-X15,"")</f>
        <v/>
      </c>
      <c r="Y16" s="13">
        <f>IF(Y14&gt;Y15,Y14-Y15,"")</f>
        <v/>
      </c>
      <c r="Z16" s="13">
        <f>IF(Z14&gt;Z15,Z14-Z15,"")</f>
        <v/>
      </c>
      <c r="AA16" s="13">
        <f>IF(AA14&gt;AA15,AA14-AA15,"")</f>
        <v/>
      </c>
      <c r="AB16" s="13">
        <f>IF(AB14&gt;AB15,AB14-AB15,"")</f>
        <v/>
      </c>
      <c r="AC16" s="13">
        <f>IF(AC14&gt;AC15,AC14-AC15,"")</f>
        <v/>
      </c>
      <c r="AD16" s="13">
        <f>IF(AD14&gt;AD15,AD14-AD15,"")</f>
        <v/>
      </c>
      <c r="AE16" s="13">
        <f>IF(AE14&gt;AE15,AE14-AE15,"")</f>
        <v/>
      </c>
      <c r="AF16" s="13">
        <f>IF(AF14&gt;AF15,AF14-AF15,"")</f>
        <v/>
      </c>
      <c r="AG16" s="13">
        <f>IF(AG14&gt;AG15,AG14-AG15,"")</f>
        <v/>
      </c>
      <c r="AH16" s="13">
        <f>IF(AH14&gt;AH15,AH14-AH15,"")</f>
        <v/>
      </c>
      <c r="AI16" s="13">
        <f>IF(AI14&gt;AI15,AI14-AI15,"")</f>
        <v/>
      </c>
      <c r="AJ16" s="13">
        <f>IF(AJ14&gt;AJ15,AJ14-AJ15,"")</f>
        <v/>
      </c>
      <c r="AK16" s="13">
        <f>IF(AK14&gt;AK15,AK14-AK15,"")</f>
        <v/>
      </c>
      <c r="AL16" s="13">
        <f>IF(AL14&gt;AL15,AL14-AL15,"")</f>
        <v/>
      </c>
      <c r="AM16" s="13">
        <f>IF(AM14&gt;AM15,AM14-AM15,"")</f>
        <v/>
      </c>
      <c r="AN16" s="13">
        <f>IF(AN14&gt;AN15,AN14-AN15,"")</f>
        <v/>
      </c>
      <c r="AO16" s="13">
        <f>IF(AO14&gt;AO15,AO14-AO15,"")</f>
        <v/>
      </c>
      <c r="AP16" s="13">
        <f>IF(AP14&gt;AP15,AP14-AP15,"")</f>
        <v/>
      </c>
      <c r="AQ16" s="13">
        <f>IF(AQ14&gt;AQ15,AQ14-AQ15,"")</f>
        <v/>
      </c>
      <c r="AR16" s="13">
        <f>IF(AR14&gt;AR15,AR14-AR15,"")</f>
        <v/>
      </c>
      <c r="AS16" s="13">
        <f>IF(AS14&gt;AS15,AS14-AS15,"")</f>
        <v/>
      </c>
    </row>
    <row r="18">
      <c r="A18" s="8" t="inlineStr">
        <is>
          <t>Project finish (max Finish)</t>
        </is>
      </c>
      <c r="E18" s="14">
        <f>MAX(E5:E13)</f>
        <v/>
      </c>
    </row>
    <row r="19">
      <c r="A19" s="8" t="inlineStr">
        <is>
          <t>Peak load</t>
        </is>
      </c>
      <c r="E19" s="14">
        <f>MAX(F14:AS14)</f>
        <v/>
      </c>
    </row>
    <row r="20">
      <c r="A20" s="8" t="inlineStr">
        <is>
          <t>Days over the limit</t>
        </is>
      </c>
      <c r="E20" s="14">
        <f>COUNTIF(F16:AS16,"&gt;0")</f>
        <v/>
      </c>
    </row>
    <row r="22">
      <c r="A22" s="2" t="inlineStr">
        <is>
          <t>Enter each activity's start day (0 = project start). The grid shows the coordinators it uses on each day, the Load row sums them, and Over by flags any day above the limit.</t>
        </is>
      </c>
    </row>
  </sheetData>
  <mergeCells count="3">
    <mergeCell ref="A18:D18"/>
    <mergeCell ref="A20:D20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8" customWidth="1" min="4" max="4"/>
    <col width="34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Levelling log · parallel method</t>
        </is>
      </c>
    </row>
    <row r="2">
      <c r="A2" s="2" t="inlineStr">
        <is>
          <t>One row per period in which you made a decision. Eligible activities, their slack at that moment, and what you started or delayed.</t>
        </is>
      </c>
    </row>
    <row r="4" ht="30" customHeight="1">
      <c r="A4" s="3" t="inlineStr">
        <is>
          <t>Scenario</t>
        </is>
      </c>
      <c r="B4" s="3" t="inlineStr">
        <is>
          <t>Period t</t>
        </is>
      </c>
      <c r="C4" s="3" t="inlineStr">
        <is>
          <t>In progress (coordinators used)</t>
        </is>
      </c>
      <c r="D4" s="3" t="inlineStr">
        <is>
          <t>Eligible activities</t>
        </is>
      </c>
      <c r="E4" s="3" t="inlineStr">
        <is>
          <t>Priority order and slack (LF − t − dur)</t>
        </is>
      </c>
      <c r="F4" s="3" t="inlineStr">
        <is>
          <t>Started</t>
        </is>
      </c>
      <c r="G4" s="3" t="inlineStr">
        <is>
          <t>Delayed</t>
        </is>
      </c>
      <c r="H4" s="3" t="inlineStr">
        <is>
          <t>Reason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</sheetData>
  <dataValidations count="1">
    <dataValidation sqref="A5:A28" showDropDown="0" showInputMessage="0" showErrorMessage="0" allowBlank="1" type="list">
      <formula1>"3 coordinators,2 coordinators"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</cols>
  <sheetData>
    <row r="1">
      <c r="A1" s="1" t="inlineStr">
        <is>
          <t>Time-phased budget baseline</t>
        </is>
      </c>
    </row>
    <row r="2">
      <c r="A2" s="2" t="inlineStr">
        <is>
          <t>Cost per day comes from the Activities sheet. Enter each schedule's start days; the weekly spend and cumulative baseline calculate.</t>
        </is>
      </c>
    </row>
    <row r="4" ht="30" customHeight="1">
      <c r="A4" s="3" t="inlineStr">
        <is>
          <t>Schedule</t>
        </is>
      </c>
      <c r="B4" s="3" t="inlineStr">
        <is>
          <t>Start A</t>
        </is>
      </c>
      <c r="C4" s="3" t="inlineStr">
        <is>
          <t>B</t>
        </is>
      </c>
      <c r="D4" s="3" t="inlineStr">
        <is>
          <t>C</t>
        </is>
      </c>
      <c r="E4" s="3" t="inlineStr">
        <is>
          <t>D</t>
        </is>
      </c>
      <c r="F4" s="3" t="inlineStr">
        <is>
          <t>E</t>
        </is>
      </c>
      <c r="G4" s="3" t="inlineStr">
        <is>
          <t>F</t>
        </is>
      </c>
      <c r="H4" s="3" t="inlineStr">
        <is>
          <t>G</t>
        </is>
      </c>
      <c r="I4" s="3" t="inlineStr">
        <is>
          <t>H</t>
        </is>
      </c>
      <c r="J4" s="3" t="inlineStr">
        <is>
          <t>I</t>
        </is>
      </c>
      <c r="K4" s="3" t="inlineStr">
        <is>
          <t>Wk 1</t>
        </is>
      </c>
      <c r="L4" s="3" t="inlineStr">
        <is>
          <t>Wk 2</t>
        </is>
      </c>
      <c r="M4" s="3" t="inlineStr">
        <is>
          <t>Wk 3</t>
        </is>
      </c>
      <c r="N4" s="3" t="inlineStr">
        <is>
          <t>Wk 4</t>
        </is>
      </c>
      <c r="O4" s="3" t="inlineStr">
        <is>
          <t>Wk 5</t>
        </is>
      </c>
      <c r="P4" s="3" t="inlineStr">
        <is>
          <t>Wk 6</t>
        </is>
      </c>
      <c r="Q4" s="3" t="inlineStr">
        <is>
          <t>Wk 7</t>
        </is>
      </c>
      <c r="R4" s="3" t="inlineStr">
        <is>
          <t>Wk 8</t>
        </is>
      </c>
      <c r="S4" s="3" t="inlineStr">
        <is>
          <t>Total</t>
        </is>
      </c>
    </row>
    <row r="5">
      <c r="A5" s="16" t="inlineStr">
        <is>
          <t>Early start (ES)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6">
        <f>IF(COUNT(B5:J5)&lt;9,"",MAX(0,MIN(B5+2,5)-MAX(B5,0))*1000+MAX(0,MIN(C5+5,5)-MAX(C5,0))*6000+MAX(0,MIN(D5+6,5)-MAX(D5,0))*1000+MAX(0,MIN(E5+4,5)-MAX(E5,0))*2000+MAX(0,MIN(F5+8,5)-MAX(F5,0))*1500+MAX(0,MIN(G5+5,5)-MAX(G5,0))*500+MAX(0,MIN(H5+3,5)-MAX(H5,0))*1000+MAX(0,MIN(I5+4,5)-MAX(I5,0))*1000+MAX(0,MIN(J5+2,5)-MAX(J5,0))*1250)</f>
        <v/>
      </c>
      <c r="L5" s="6">
        <f>IF(COUNT(B5:J5)&lt;9,"",MAX(0,MIN(B5+2,10)-MAX(B5,5))*1000+MAX(0,MIN(C5+5,10)-MAX(C5,5))*6000+MAX(0,MIN(D5+6,10)-MAX(D5,5))*1000+MAX(0,MIN(E5+4,10)-MAX(E5,5))*2000+MAX(0,MIN(F5+8,10)-MAX(F5,5))*1500+MAX(0,MIN(G5+5,10)-MAX(G5,5))*500+MAX(0,MIN(H5+3,10)-MAX(H5,5))*1000+MAX(0,MIN(I5+4,10)-MAX(I5,5))*1000+MAX(0,MIN(J5+2,10)-MAX(J5,5))*1250)</f>
        <v/>
      </c>
      <c r="M5" s="6">
        <f>IF(COUNT(B5:J5)&lt;9,"",MAX(0,MIN(B5+2,15)-MAX(B5,10))*1000+MAX(0,MIN(C5+5,15)-MAX(C5,10))*6000+MAX(0,MIN(D5+6,15)-MAX(D5,10))*1000+MAX(0,MIN(E5+4,15)-MAX(E5,10))*2000+MAX(0,MIN(F5+8,15)-MAX(F5,10))*1500+MAX(0,MIN(G5+5,15)-MAX(G5,10))*500+MAX(0,MIN(H5+3,15)-MAX(H5,10))*1000+MAX(0,MIN(I5+4,15)-MAX(I5,10))*1000+MAX(0,MIN(J5+2,15)-MAX(J5,10))*1250)</f>
        <v/>
      </c>
      <c r="N5" s="6">
        <f>IF(COUNT(B5:J5)&lt;9,"",MAX(0,MIN(B5+2,20)-MAX(B5,15))*1000+MAX(0,MIN(C5+5,20)-MAX(C5,15))*6000+MAX(0,MIN(D5+6,20)-MAX(D5,15))*1000+MAX(0,MIN(E5+4,20)-MAX(E5,15))*2000+MAX(0,MIN(F5+8,20)-MAX(F5,15))*1500+MAX(0,MIN(G5+5,20)-MAX(G5,15))*500+MAX(0,MIN(H5+3,20)-MAX(H5,15))*1000+MAX(0,MIN(I5+4,20)-MAX(I5,15))*1000+MAX(0,MIN(J5+2,20)-MAX(J5,15))*1250)</f>
        <v/>
      </c>
      <c r="O5" s="6">
        <f>IF(COUNT(B5:J5)&lt;9,"",MAX(0,MIN(B5+2,25)-MAX(B5,20))*1000+MAX(0,MIN(C5+5,25)-MAX(C5,20))*6000+MAX(0,MIN(D5+6,25)-MAX(D5,20))*1000+MAX(0,MIN(E5+4,25)-MAX(E5,20))*2000+MAX(0,MIN(F5+8,25)-MAX(F5,20))*1500+MAX(0,MIN(G5+5,25)-MAX(G5,20))*500+MAX(0,MIN(H5+3,25)-MAX(H5,20))*1000+MAX(0,MIN(I5+4,25)-MAX(I5,20))*1000+MAX(0,MIN(J5+2,25)-MAX(J5,20))*1250)</f>
        <v/>
      </c>
      <c r="P5" s="6">
        <f>IF(COUNT(B5:J5)&lt;9,"",MAX(0,MIN(B5+2,30)-MAX(B5,25))*1000+MAX(0,MIN(C5+5,30)-MAX(C5,25))*6000+MAX(0,MIN(D5+6,30)-MAX(D5,25))*1000+MAX(0,MIN(E5+4,30)-MAX(E5,25))*2000+MAX(0,MIN(F5+8,30)-MAX(F5,25))*1500+MAX(0,MIN(G5+5,30)-MAX(G5,25))*500+MAX(0,MIN(H5+3,30)-MAX(H5,25))*1000+MAX(0,MIN(I5+4,30)-MAX(I5,25))*1000+MAX(0,MIN(J5+2,30)-MAX(J5,25))*1250)</f>
        <v/>
      </c>
      <c r="Q5" s="6">
        <f>IF(COUNT(B5:J5)&lt;9,"",MAX(0,MIN(B5+2,35)-MAX(B5,30))*1000+MAX(0,MIN(C5+5,35)-MAX(C5,30))*6000+MAX(0,MIN(D5+6,35)-MAX(D5,30))*1000+MAX(0,MIN(E5+4,35)-MAX(E5,30))*2000+MAX(0,MIN(F5+8,35)-MAX(F5,30))*1500+MAX(0,MIN(G5+5,35)-MAX(G5,30))*500+MAX(0,MIN(H5+3,35)-MAX(H5,30))*1000+MAX(0,MIN(I5+4,35)-MAX(I5,30))*1000+MAX(0,MIN(J5+2,35)-MAX(J5,30))*1250)</f>
        <v/>
      </c>
      <c r="R5" s="6">
        <f>IF(COUNT(B5:J5)&lt;9,"",MAX(0,MIN(B5+2,40)-MAX(B5,35))*1000+MAX(0,MIN(C5+5,40)-MAX(C5,35))*6000+MAX(0,MIN(D5+6,40)-MAX(D5,35))*1000+MAX(0,MIN(E5+4,40)-MAX(E5,35))*2000+MAX(0,MIN(F5+8,40)-MAX(F5,35))*1500+MAX(0,MIN(G5+5,40)-MAX(G5,35))*500+MAX(0,MIN(H5+3,40)-MAX(H5,35))*1000+MAX(0,MIN(I5+4,40)-MAX(I5,35))*1000+MAX(0,MIN(J5+2,40)-MAX(J5,35))*1250)</f>
        <v/>
      </c>
      <c r="S5" s="17">
        <f>IF(COUNT(B5:J5)&lt;9,"",SUM(K5:R5))</f>
        <v/>
      </c>
    </row>
    <row r="6">
      <c r="A6" s="16" t="inlineStr">
        <is>
          <t>Late start (LS)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6">
        <f>IF(COUNT(B6:J6)&lt;9,"",MAX(0,MIN(B6+2,5)-MAX(B6,0))*1000+MAX(0,MIN(C6+5,5)-MAX(C6,0))*6000+MAX(0,MIN(D6+6,5)-MAX(D6,0))*1000+MAX(0,MIN(E6+4,5)-MAX(E6,0))*2000+MAX(0,MIN(F6+8,5)-MAX(F6,0))*1500+MAX(0,MIN(G6+5,5)-MAX(G6,0))*500+MAX(0,MIN(H6+3,5)-MAX(H6,0))*1000+MAX(0,MIN(I6+4,5)-MAX(I6,0))*1000+MAX(0,MIN(J6+2,5)-MAX(J6,0))*1250)</f>
        <v/>
      </c>
      <c r="L6" s="6">
        <f>IF(COUNT(B6:J6)&lt;9,"",MAX(0,MIN(B6+2,10)-MAX(B6,5))*1000+MAX(0,MIN(C6+5,10)-MAX(C6,5))*6000+MAX(0,MIN(D6+6,10)-MAX(D6,5))*1000+MAX(0,MIN(E6+4,10)-MAX(E6,5))*2000+MAX(0,MIN(F6+8,10)-MAX(F6,5))*1500+MAX(0,MIN(G6+5,10)-MAX(G6,5))*500+MAX(0,MIN(H6+3,10)-MAX(H6,5))*1000+MAX(0,MIN(I6+4,10)-MAX(I6,5))*1000+MAX(0,MIN(J6+2,10)-MAX(J6,5))*1250)</f>
        <v/>
      </c>
      <c r="M6" s="6">
        <f>IF(COUNT(B6:J6)&lt;9,"",MAX(0,MIN(B6+2,15)-MAX(B6,10))*1000+MAX(0,MIN(C6+5,15)-MAX(C6,10))*6000+MAX(0,MIN(D6+6,15)-MAX(D6,10))*1000+MAX(0,MIN(E6+4,15)-MAX(E6,10))*2000+MAX(0,MIN(F6+8,15)-MAX(F6,10))*1500+MAX(0,MIN(G6+5,15)-MAX(G6,10))*500+MAX(0,MIN(H6+3,15)-MAX(H6,10))*1000+MAX(0,MIN(I6+4,15)-MAX(I6,10))*1000+MAX(0,MIN(J6+2,15)-MAX(J6,10))*1250)</f>
        <v/>
      </c>
      <c r="N6" s="6">
        <f>IF(COUNT(B6:J6)&lt;9,"",MAX(0,MIN(B6+2,20)-MAX(B6,15))*1000+MAX(0,MIN(C6+5,20)-MAX(C6,15))*6000+MAX(0,MIN(D6+6,20)-MAX(D6,15))*1000+MAX(0,MIN(E6+4,20)-MAX(E6,15))*2000+MAX(0,MIN(F6+8,20)-MAX(F6,15))*1500+MAX(0,MIN(G6+5,20)-MAX(G6,15))*500+MAX(0,MIN(H6+3,20)-MAX(H6,15))*1000+MAX(0,MIN(I6+4,20)-MAX(I6,15))*1000+MAX(0,MIN(J6+2,20)-MAX(J6,15))*1250)</f>
        <v/>
      </c>
      <c r="O6" s="6">
        <f>IF(COUNT(B6:J6)&lt;9,"",MAX(0,MIN(B6+2,25)-MAX(B6,20))*1000+MAX(0,MIN(C6+5,25)-MAX(C6,20))*6000+MAX(0,MIN(D6+6,25)-MAX(D6,20))*1000+MAX(0,MIN(E6+4,25)-MAX(E6,20))*2000+MAX(0,MIN(F6+8,25)-MAX(F6,20))*1500+MAX(0,MIN(G6+5,25)-MAX(G6,20))*500+MAX(0,MIN(H6+3,25)-MAX(H6,20))*1000+MAX(0,MIN(I6+4,25)-MAX(I6,20))*1000+MAX(0,MIN(J6+2,25)-MAX(J6,20))*1250)</f>
        <v/>
      </c>
      <c r="P6" s="6">
        <f>IF(COUNT(B6:J6)&lt;9,"",MAX(0,MIN(B6+2,30)-MAX(B6,25))*1000+MAX(0,MIN(C6+5,30)-MAX(C6,25))*6000+MAX(0,MIN(D6+6,30)-MAX(D6,25))*1000+MAX(0,MIN(E6+4,30)-MAX(E6,25))*2000+MAX(0,MIN(F6+8,30)-MAX(F6,25))*1500+MAX(0,MIN(G6+5,30)-MAX(G6,25))*500+MAX(0,MIN(H6+3,30)-MAX(H6,25))*1000+MAX(0,MIN(I6+4,30)-MAX(I6,25))*1000+MAX(0,MIN(J6+2,30)-MAX(J6,25))*1250)</f>
        <v/>
      </c>
      <c r="Q6" s="6">
        <f>IF(COUNT(B6:J6)&lt;9,"",MAX(0,MIN(B6+2,35)-MAX(B6,30))*1000+MAX(0,MIN(C6+5,35)-MAX(C6,30))*6000+MAX(0,MIN(D6+6,35)-MAX(D6,30))*1000+MAX(0,MIN(E6+4,35)-MAX(E6,30))*2000+MAX(0,MIN(F6+8,35)-MAX(F6,30))*1500+MAX(0,MIN(G6+5,35)-MAX(G6,30))*500+MAX(0,MIN(H6+3,35)-MAX(H6,30))*1000+MAX(0,MIN(I6+4,35)-MAX(I6,30))*1000+MAX(0,MIN(J6+2,35)-MAX(J6,30))*1250)</f>
        <v/>
      </c>
      <c r="R6" s="6">
        <f>IF(COUNT(B6:J6)&lt;9,"",MAX(0,MIN(B6+2,40)-MAX(B6,35))*1000+MAX(0,MIN(C6+5,40)-MAX(C6,35))*6000+MAX(0,MIN(D6+6,40)-MAX(D6,35))*1000+MAX(0,MIN(E6+4,40)-MAX(E6,35))*2000+MAX(0,MIN(F6+8,40)-MAX(F6,35))*1500+MAX(0,MIN(G6+5,40)-MAX(G6,35))*500+MAX(0,MIN(H6+3,40)-MAX(H6,35))*1000+MAX(0,MIN(I6+4,40)-MAX(I6,35))*1000+MAX(0,MIN(J6+2,40)-MAX(J6,35))*1250)</f>
        <v/>
      </c>
      <c r="S6" s="17">
        <f>IF(COUNT(B6:J6)&lt;9,"",SUM(K6:R6))</f>
        <v/>
      </c>
    </row>
    <row r="7">
      <c r="A7" s="16" t="inlineStr">
        <is>
          <t>Levelled, 3 coordinators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6">
        <f>IF(COUNT(B7:J7)&lt;9,"",MAX(0,MIN(B7+2,5)-MAX(B7,0))*1000+MAX(0,MIN(C7+5,5)-MAX(C7,0))*6000+MAX(0,MIN(D7+6,5)-MAX(D7,0))*1000+MAX(0,MIN(E7+4,5)-MAX(E7,0))*2000+MAX(0,MIN(F7+8,5)-MAX(F7,0))*1500+MAX(0,MIN(G7+5,5)-MAX(G7,0))*500+MAX(0,MIN(H7+3,5)-MAX(H7,0))*1000+MAX(0,MIN(I7+4,5)-MAX(I7,0))*1000+MAX(0,MIN(J7+2,5)-MAX(J7,0))*1250)</f>
        <v/>
      </c>
      <c r="L7" s="6">
        <f>IF(COUNT(B7:J7)&lt;9,"",MAX(0,MIN(B7+2,10)-MAX(B7,5))*1000+MAX(0,MIN(C7+5,10)-MAX(C7,5))*6000+MAX(0,MIN(D7+6,10)-MAX(D7,5))*1000+MAX(0,MIN(E7+4,10)-MAX(E7,5))*2000+MAX(0,MIN(F7+8,10)-MAX(F7,5))*1500+MAX(0,MIN(G7+5,10)-MAX(G7,5))*500+MAX(0,MIN(H7+3,10)-MAX(H7,5))*1000+MAX(0,MIN(I7+4,10)-MAX(I7,5))*1000+MAX(0,MIN(J7+2,10)-MAX(J7,5))*1250)</f>
        <v/>
      </c>
      <c r="M7" s="6">
        <f>IF(COUNT(B7:J7)&lt;9,"",MAX(0,MIN(B7+2,15)-MAX(B7,10))*1000+MAX(0,MIN(C7+5,15)-MAX(C7,10))*6000+MAX(0,MIN(D7+6,15)-MAX(D7,10))*1000+MAX(0,MIN(E7+4,15)-MAX(E7,10))*2000+MAX(0,MIN(F7+8,15)-MAX(F7,10))*1500+MAX(0,MIN(G7+5,15)-MAX(G7,10))*500+MAX(0,MIN(H7+3,15)-MAX(H7,10))*1000+MAX(0,MIN(I7+4,15)-MAX(I7,10))*1000+MAX(0,MIN(J7+2,15)-MAX(J7,10))*1250)</f>
        <v/>
      </c>
      <c r="N7" s="6">
        <f>IF(COUNT(B7:J7)&lt;9,"",MAX(0,MIN(B7+2,20)-MAX(B7,15))*1000+MAX(0,MIN(C7+5,20)-MAX(C7,15))*6000+MAX(0,MIN(D7+6,20)-MAX(D7,15))*1000+MAX(0,MIN(E7+4,20)-MAX(E7,15))*2000+MAX(0,MIN(F7+8,20)-MAX(F7,15))*1500+MAX(0,MIN(G7+5,20)-MAX(G7,15))*500+MAX(0,MIN(H7+3,20)-MAX(H7,15))*1000+MAX(0,MIN(I7+4,20)-MAX(I7,15))*1000+MAX(0,MIN(J7+2,20)-MAX(J7,15))*1250)</f>
        <v/>
      </c>
      <c r="O7" s="6">
        <f>IF(COUNT(B7:J7)&lt;9,"",MAX(0,MIN(B7+2,25)-MAX(B7,20))*1000+MAX(0,MIN(C7+5,25)-MAX(C7,20))*6000+MAX(0,MIN(D7+6,25)-MAX(D7,20))*1000+MAX(0,MIN(E7+4,25)-MAX(E7,20))*2000+MAX(0,MIN(F7+8,25)-MAX(F7,20))*1500+MAX(0,MIN(G7+5,25)-MAX(G7,20))*500+MAX(0,MIN(H7+3,25)-MAX(H7,20))*1000+MAX(0,MIN(I7+4,25)-MAX(I7,20))*1000+MAX(0,MIN(J7+2,25)-MAX(J7,20))*1250)</f>
        <v/>
      </c>
      <c r="P7" s="6">
        <f>IF(COUNT(B7:J7)&lt;9,"",MAX(0,MIN(B7+2,30)-MAX(B7,25))*1000+MAX(0,MIN(C7+5,30)-MAX(C7,25))*6000+MAX(0,MIN(D7+6,30)-MAX(D7,25))*1000+MAX(0,MIN(E7+4,30)-MAX(E7,25))*2000+MAX(0,MIN(F7+8,30)-MAX(F7,25))*1500+MAX(0,MIN(G7+5,30)-MAX(G7,25))*500+MAX(0,MIN(H7+3,30)-MAX(H7,25))*1000+MAX(0,MIN(I7+4,30)-MAX(I7,25))*1000+MAX(0,MIN(J7+2,30)-MAX(J7,25))*1250)</f>
        <v/>
      </c>
      <c r="Q7" s="6">
        <f>IF(COUNT(B7:J7)&lt;9,"",MAX(0,MIN(B7+2,35)-MAX(B7,30))*1000+MAX(0,MIN(C7+5,35)-MAX(C7,30))*6000+MAX(0,MIN(D7+6,35)-MAX(D7,30))*1000+MAX(0,MIN(E7+4,35)-MAX(E7,30))*2000+MAX(0,MIN(F7+8,35)-MAX(F7,30))*1500+MAX(0,MIN(G7+5,35)-MAX(G7,30))*500+MAX(0,MIN(H7+3,35)-MAX(H7,30))*1000+MAX(0,MIN(I7+4,35)-MAX(I7,30))*1000+MAX(0,MIN(J7+2,35)-MAX(J7,30))*1250)</f>
        <v/>
      </c>
      <c r="R7" s="6">
        <f>IF(COUNT(B7:J7)&lt;9,"",MAX(0,MIN(B7+2,40)-MAX(B7,35))*1000+MAX(0,MIN(C7+5,40)-MAX(C7,35))*6000+MAX(0,MIN(D7+6,40)-MAX(D7,35))*1000+MAX(0,MIN(E7+4,40)-MAX(E7,35))*2000+MAX(0,MIN(F7+8,40)-MAX(F7,35))*1500+MAX(0,MIN(G7+5,40)-MAX(G7,35))*500+MAX(0,MIN(H7+3,40)-MAX(H7,35))*1000+MAX(0,MIN(I7+4,40)-MAX(I7,35))*1000+MAX(0,MIN(J7+2,40)-MAX(J7,35))*1250)</f>
        <v/>
      </c>
      <c r="S7" s="17">
        <f>IF(COUNT(B7:J7)&lt;9,"",SUM(K7:R7))</f>
        <v/>
      </c>
    </row>
    <row r="8">
      <c r="A8" s="16" t="inlineStr">
        <is>
          <t>Levelled, 2 coordinators (yours)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6">
        <f>IF(COUNT(B8:J8)&lt;9,"",MAX(0,MIN(B8+2,5)-MAX(B8,0))*1000+MAX(0,MIN(C8+5,5)-MAX(C8,0))*6000+MAX(0,MIN(D8+6,5)-MAX(D8,0))*1000+MAX(0,MIN(E8+4,5)-MAX(E8,0))*2000+MAX(0,MIN(F8+8,5)-MAX(F8,0))*1500+MAX(0,MIN(G8+5,5)-MAX(G8,0))*500+MAX(0,MIN(H8+3,5)-MAX(H8,0))*1000+MAX(0,MIN(I8+4,5)-MAX(I8,0))*1000+MAX(0,MIN(J8+2,5)-MAX(J8,0))*1250)</f>
        <v/>
      </c>
      <c r="L8" s="6">
        <f>IF(COUNT(B8:J8)&lt;9,"",MAX(0,MIN(B8+2,10)-MAX(B8,5))*1000+MAX(0,MIN(C8+5,10)-MAX(C8,5))*6000+MAX(0,MIN(D8+6,10)-MAX(D8,5))*1000+MAX(0,MIN(E8+4,10)-MAX(E8,5))*2000+MAX(0,MIN(F8+8,10)-MAX(F8,5))*1500+MAX(0,MIN(G8+5,10)-MAX(G8,5))*500+MAX(0,MIN(H8+3,10)-MAX(H8,5))*1000+MAX(0,MIN(I8+4,10)-MAX(I8,5))*1000+MAX(0,MIN(J8+2,10)-MAX(J8,5))*1250)</f>
        <v/>
      </c>
      <c r="M8" s="6">
        <f>IF(COUNT(B8:J8)&lt;9,"",MAX(0,MIN(B8+2,15)-MAX(B8,10))*1000+MAX(0,MIN(C8+5,15)-MAX(C8,10))*6000+MAX(0,MIN(D8+6,15)-MAX(D8,10))*1000+MAX(0,MIN(E8+4,15)-MAX(E8,10))*2000+MAX(0,MIN(F8+8,15)-MAX(F8,10))*1500+MAX(0,MIN(G8+5,15)-MAX(G8,10))*500+MAX(0,MIN(H8+3,15)-MAX(H8,10))*1000+MAX(0,MIN(I8+4,15)-MAX(I8,10))*1000+MAX(0,MIN(J8+2,15)-MAX(J8,10))*1250)</f>
        <v/>
      </c>
      <c r="N8" s="6">
        <f>IF(COUNT(B8:J8)&lt;9,"",MAX(0,MIN(B8+2,20)-MAX(B8,15))*1000+MAX(0,MIN(C8+5,20)-MAX(C8,15))*6000+MAX(0,MIN(D8+6,20)-MAX(D8,15))*1000+MAX(0,MIN(E8+4,20)-MAX(E8,15))*2000+MAX(0,MIN(F8+8,20)-MAX(F8,15))*1500+MAX(0,MIN(G8+5,20)-MAX(G8,15))*500+MAX(0,MIN(H8+3,20)-MAX(H8,15))*1000+MAX(0,MIN(I8+4,20)-MAX(I8,15))*1000+MAX(0,MIN(J8+2,20)-MAX(J8,15))*1250)</f>
        <v/>
      </c>
      <c r="O8" s="6">
        <f>IF(COUNT(B8:J8)&lt;9,"",MAX(0,MIN(B8+2,25)-MAX(B8,20))*1000+MAX(0,MIN(C8+5,25)-MAX(C8,20))*6000+MAX(0,MIN(D8+6,25)-MAX(D8,20))*1000+MAX(0,MIN(E8+4,25)-MAX(E8,20))*2000+MAX(0,MIN(F8+8,25)-MAX(F8,20))*1500+MAX(0,MIN(G8+5,25)-MAX(G8,20))*500+MAX(0,MIN(H8+3,25)-MAX(H8,20))*1000+MAX(0,MIN(I8+4,25)-MAX(I8,20))*1000+MAX(0,MIN(J8+2,25)-MAX(J8,20))*1250)</f>
        <v/>
      </c>
      <c r="P8" s="6">
        <f>IF(COUNT(B8:J8)&lt;9,"",MAX(0,MIN(B8+2,30)-MAX(B8,25))*1000+MAX(0,MIN(C8+5,30)-MAX(C8,25))*6000+MAX(0,MIN(D8+6,30)-MAX(D8,25))*1000+MAX(0,MIN(E8+4,30)-MAX(E8,25))*2000+MAX(0,MIN(F8+8,30)-MAX(F8,25))*1500+MAX(0,MIN(G8+5,30)-MAX(G8,25))*500+MAX(0,MIN(H8+3,30)-MAX(H8,25))*1000+MAX(0,MIN(I8+4,30)-MAX(I8,25))*1000+MAX(0,MIN(J8+2,30)-MAX(J8,25))*1250)</f>
        <v/>
      </c>
      <c r="Q8" s="6">
        <f>IF(COUNT(B8:J8)&lt;9,"",MAX(0,MIN(B8+2,35)-MAX(B8,30))*1000+MAX(0,MIN(C8+5,35)-MAX(C8,30))*6000+MAX(0,MIN(D8+6,35)-MAX(D8,30))*1000+MAX(0,MIN(E8+4,35)-MAX(E8,30))*2000+MAX(0,MIN(F8+8,35)-MAX(F8,30))*1500+MAX(0,MIN(G8+5,35)-MAX(G8,30))*500+MAX(0,MIN(H8+3,35)-MAX(H8,30))*1000+MAX(0,MIN(I8+4,35)-MAX(I8,30))*1000+MAX(0,MIN(J8+2,35)-MAX(J8,30))*1250)</f>
        <v/>
      </c>
      <c r="R8" s="6">
        <f>IF(COUNT(B8:J8)&lt;9,"",MAX(0,MIN(B8+2,40)-MAX(B8,35))*1000+MAX(0,MIN(C8+5,40)-MAX(C8,35))*6000+MAX(0,MIN(D8+6,40)-MAX(D8,35))*1000+MAX(0,MIN(E8+4,40)-MAX(E8,35))*2000+MAX(0,MIN(F8+8,40)-MAX(F8,35))*1500+MAX(0,MIN(G8+5,40)-MAX(G8,35))*500+MAX(0,MIN(H8+3,40)-MAX(H8,35))*1000+MAX(0,MIN(I8+4,40)-MAX(I8,35))*1000+MAX(0,MIN(J8+2,40)-MAX(J8,35))*1250)</f>
        <v/>
      </c>
      <c r="S8" s="17">
        <f>IF(COUNT(B8:J8)&lt;9,"",SUM(K8:R8))</f>
        <v/>
      </c>
    </row>
    <row r="9">
      <c r="A9" s="16" t="inlineStr">
        <is>
          <t>Optimum, 2 coordinators (Part 3)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6">
        <f>IF(COUNT(B9:J9)&lt;9,"",MAX(0,MIN(B9+2,5)-MAX(B9,0))*1000+MAX(0,MIN(C9+5,5)-MAX(C9,0))*6000+MAX(0,MIN(D9+6,5)-MAX(D9,0))*1000+MAX(0,MIN(E9+4,5)-MAX(E9,0))*2000+MAX(0,MIN(F9+8,5)-MAX(F9,0))*1500+MAX(0,MIN(G9+5,5)-MAX(G9,0))*500+MAX(0,MIN(H9+3,5)-MAX(H9,0))*1000+MAX(0,MIN(I9+4,5)-MAX(I9,0))*1000+MAX(0,MIN(J9+2,5)-MAX(J9,0))*1250)</f>
        <v/>
      </c>
      <c r="L9" s="6">
        <f>IF(COUNT(B9:J9)&lt;9,"",MAX(0,MIN(B9+2,10)-MAX(B9,5))*1000+MAX(0,MIN(C9+5,10)-MAX(C9,5))*6000+MAX(0,MIN(D9+6,10)-MAX(D9,5))*1000+MAX(0,MIN(E9+4,10)-MAX(E9,5))*2000+MAX(0,MIN(F9+8,10)-MAX(F9,5))*1500+MAX(0,MIN(G9+5,10)-MAX(G9,5))*500+MAX(0,MIN(H9+3,10)-MAX(H9,5))*1000+MAX(0,MIN(I9+4,10)-MAX(I9,5))*1000+MAX(0,MIN(J9+2,10)-MAX(J9,5))*1250)</f>
        <v/>
      </c>
      <c r="M9" s="6">
        <f>IF(COUNT(B9:J9)&lt;9,"",MAX(0,MIN(B9+2,15)-MAX(B9,10))*1000+MAX(0,MIN(C9+5,15)-MAX(C9,10))*6000+MAX(0,MIN(D9+6,15)-MAX(D9,10))*1000+MAX(0,MIN(E9+4,15)-MAX(E9,10))*2000+MAX(0,MIN(F9+8,15)-MAX(F9,10))*1500+MAX(0,MIN(G9+5,15)-MAX(G9,10))*500+MAX(0,MIN(H9+3,15)-MAX(H9,10))*1000+MAX(0,MIN(I9+4,15)-MAX(I9,10))*1000+MAX(0,MIN(J9+2,15)-MAX(J9,10))*1250)</f>
        <v/>
      </c>
      <c r="N9" s="6">
        <f>IF(COUNT(B9:J9)&lt;9,"",MAX(0,MIN(B9+2,20)-MAX(B9,15))*1000+MAX(0,MIN(C9+5,20)-MAX(C9,15))*6000+MAX(0,MIN(D9+6,20)-MAX(D9,15))*1000+MAX(0,MIN(E9+4,20)-MAX(E9,15))*2000+MAX(0,MIN(F9+8,20)-MAX(F9,15))*1500+MAX(0,MIN(G9+5,20)-MAX(G9,15))*500+MAX(0,MIN(H9+3,20)-MAX(H9,15))*1000+MAX(0,MIN(I9+4,20)-MAX(I9,15))*1000+MAX(0,MIN(J9+2,20)-MAX(J9,15))*1250)</f>
        <v/>
      </c>
      <c r="O9" s="6">
        <f>IF(COUNT(B9:J9)&lt;9,"",MAX(0,MIN(B9+2,25)-MAX(B9,20))*1000+MAX(0,MIN(C9+5,25)-MAX(C9,20))*6000+MAX(0,MIN(D9+6,25)-MAX(D9,20))*1000+MAX(0,MIN(E9+4,25)-MAX(E9,20))*2000+MAX(0,MIN(F9+8,25)-MAX(F9,20))*1500+MAX(0,MIN(G9+5,25)-MAX(G9,20))*500+MAX(0,MIN(H9+3,25)-MAX(H9,20))*1000+MAX(0,MIN(I9+4,25)-MAX(I9,20))*1000+MAX(0,MIN(J9+2,25)-MAX(J9,20))*1250)</f>
        <v/>
      </c>
      <c r="P9" s="6">
        <f>IF(COUNT(B9:J9)&lt;9,"",MAX(0,MIN(B9+2,30)-MAX(B9,25))*1000+MAX(0,MIN(C9+5,30)-MAX(C9,25))*6000+MAX(0,MIN(D9+6,30)-MAX(D9,25))*1000+MAX(0,MIN(E9+4,30)-MAX(E9,25))*2000+MAX(0,MIN(F9+8,30)-MAX(F9,25))*1500+MAX(0,MIN(G9+5,30)-MAX(G9,25))*500+MAX(0,MIN(H9+3,30)-MAX(H9,25))*1000+MAX(0,MIN(I9+4,30)-MAX(I9,25))*1000+MAX(0,MIN(J9+2,30)-MAX(J9,25))*1250)</f>
        <v/>
      </c>
      <c r="Q9" s="6">
        <f>IF(COUNT(B9:J9)&lt;9,"",MAX(0,MIN(B9+2,35)-MAX(B9,30))*1000+MAX(0,MIN(C9+5,35)-MAX(C9,30))*6000+MAX(0,MIN(D9+6,35)-MAX(D9,30))*1000+MAX(0,MIN(E9+4,35)-MAX(E9,30))*2000+MAX(0,MIN(F9+8,35)-MAX(F9,30))*1500+MAX(0,MIN(G9+5,35)-MAX(G9,30))*500+MAX(0,MIN(H9+3,35)-MAX(H9,30))*1000+MAX(0,MIN(I9+4,35)-MAX(I9,30))*1000+MAX(0,MIN(J9+2,35)-MAX(J9,30))*1250)</f>
        <v/>
      </c>
      <c r="R9" s="6">
        <f>IF(COUNT(B9:J9)&lt;9,"",MAX(0,MIN(B9+2,40)-MAX(B9,35))*1000+MAX(0,MIN(C9+5,40)-MAX(C9,35))*6000+MAX(0,MIN(D9+6,40)-MAX(D9,35))*1000+MAX(0,MIN(E9+4,40)-MAX(E9,35))*2000+MAX(0,MIN(F9+8,40)-MAX(F9,35))*1500+MAX(0,MIN(G9+5,40)-MAX(G9,35))*500+MAX(0,MIN(H9+3,40)-MAX(H9,35))*1000+MAX(0,MIN(I9+4,40)-MAX(I9,35))*1000+MAX(0,MIN(J9+2,40)-MAX(J9,35))*1250)</f>
        <v/>
      </c>
      <c r="S9" s="17">
        <f>IF(COUNT(B9:J9)&lt;9,"",SUM(K9:R9))</f>
        <v/>
      </c>
    </row>
    <row r="10">
      <c r="A10" s="16" t="inlineStr">
        <is>
          <t>Two coordinators plus a 5-day loan (Part 3)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6">
        <f>IF(COUNT(B10:J10)&lt;9,"",MAX(0,MIN(B10+2,5)-MAX(B10,0))*1000+MAX(0,MIN(C10+5,5)-MAX(C10,0))*6000+MAX(0,MIN(D10+6,5)-MAX(D10,0))*1000+MAX(0,MIN(E10+4,5)-MAX(E10,0))*2000+MAX(0,MIN(F10+8,5)-MAX(F10,0))*1500+MAX(0,MIN(G10+5,5)-MAX(G10,0))*500+MAX(0,MIN(H10+3,5)-MAX(H10,0))*1000+MAX(0,MIN(I10+4,5)-MAX(I10,0))*1000+MAX(0,MIN(J10+2,5)-MAX(J10,0))*1250)</f>
        <v/>
      </c>
      <c r="L10" s="6">
        <f>IF(COUNT(B10:J10)&lt;9,"",MAX(0,MIN(B10+2,10)-MAX(B10,5))*1000+MAX(0,MIN(C10+5,10)-MAX(C10,5))*6000+MAX(0,MIN(D10+6,10)-MAX(D10,5))*1000+MAX(0,MIN(E10+4,10)-MAX(E10,5))*2000+MAX(0,MIN(F10+8,10)-MAX(F10,5))*1500+MAX(0,MIN(G10+5,10)-MAX(G10,5))*500+MAX(0,MIN(H10+3,10)-MAX(H10,5))*1000+MAX(0,MIN(I10+4,10)-MAX(I10,5))*1000+MAX(0,MIN(J10+2,10)-MAX(J10,5))*1250)</f>
        <v/>
      </c>
      <c r="M10" s="6">
        <f>IF(COUNT(B10:J10)&lt;9,"",MAX(0,MIN(B10+2,15)-MAX(B10,10))*1000+MAX(0,MIN(C10+5,15)-MAX(C10,10))*6000+MAX(0,MIN(D10+6,15)-MAX(D10,10))*1000+MAX(0,MIN(E10+4,15)-MAX(E10,10))*2000+MAX(0,MIN(F10+8,15)-MAX(F10,10))*1500+MAX(0,MIN(G10+5,15)-MAX(G10,10))*500+MAX(0,MIN(H10+3,15)-MAX(H10,10))*1000+MAX(0,MIN(I10+4,15)-MAX(I10,10))*1000+MAX(0,MIN(J10+2,15)-MAX(J10,10))*1250)</f>
        <v/>
      </c>
      <c r="N10" s="6">
        <f>IF(COUNT(B10:J10)&lt;9,"",MAX(0,MIN(B10+2,20)-MAX(B10,15))*1000+MAX(0,MIN(C10+5,20)-MAX(C10,15))*6000+MAX(0,MIN(D10+6,20)-MAX(D10,15))*1000+MAX(0,MIN(E10+4,20)-MAX(E10,15))*2000+MAX(0,MIN(F10+8,20)-MAX(F10,15))*1500+MAX(0,MIN(G10+5,20)-MAX(G10,15))*500+MAX(0,MIN(H10+3,20)-MAX(H10,15))*1000+MAX(0,MIN(I10+4,20)-MAX(I10,15))*1000+MAX(0,MIN(J10+2,20)-MAX(J10,15))*1250)</f>
        <v/>
      </c>
      <c r="O10" s="6">
        <f>IF(COUNT(B10:J10)&lt;9,"",MAX(0,MIN(B10+2,25)-MAX(B10,20))*1000+MAX(0,MIN(C10+5,25)-MAX(C10,20))*6000+MAX(0,MIN(D10+6,25)-MAX(D10,20))*1000+MAX(0,MIN(E10+4,25)-MAX(E10,20))*2000+MAX(0,MIN(F10+8,25)-MAX(F10,20))*1500+MAX(0,MIN(G10+5,25)-MAX(G10,20))*500+MAX(0,MIN(H10+3,25)-MAX(H10,20))*1000+MAX(0,MIN(I10+4,25)-MAX(I10,20))*1000+MAX(0,MIN(J10+2,25)-MAX(J10,20))*1250)</f>
        <v/>
      </c>
      <c r="P10" s="6">
        <f>IF(COUNT(B10:J10)&lt;9,"",MAX(0,MIN(B10+2,30)-MAX(B10,25))*1000+MAX(0,MIN(C10+5,30)-MAX(C10,25))*6000+MAX(0,MIN(D10+6,30)-MAX(D10,25))*1000+MAX(0,MIN(E10+4,30)-MAX(E10,25))*2000+MAX(0,MIN(F10+8,30)-MAX(F10,25))*1500+MAX(0,MIN(G10+5,30)-MAX(G10,25))*500+MAX(0,MIN(H10+3,30)-MAX(H10,25))*1000+MAX(0,MIN(I10+4,30)-MAX(I10,25))*1000+MAX(0,MIN(J10+2,30)-MAX(J10,25))*1250)</f>
        <v/>
      </c>
      <c r="Q10" s="6">
        <f>IF(COUNT(B10:J10)&lt;9,"",MAX(0,MIN(B10+2,35)-MAX(B10,30))*1000+MAX(0,MIN(C10+5,35)-MAX(C10,30))*6000+MAX(0,MIN(D10+6,35)-MAX(D10,30))*1000+MAX(0,MIN(E10+4,35)-MAX(E10,30))*2000+MAX(0,MIN(F10+8,35)-MAX(F10,30))*1500+MAX(0,MIN(G10+5,35)-MAX(G10,30))*500+MAX(0,MIN(H10+3,35)-MAX(H10,30))*1000+MAX(0,MIN(I10+4,35)-MAX(I10,30))*1000+MAX(0,MIN(J10+2,35)-MAX(J10,30))*1250)</f>
        <v/>
      </c>
      <c r="R10" s="6">
        <f>IF(COUNT(B10:J10)&lt;9,"",MAX(0,MIN(B10+2,40)-MAX(B10,35))*1000+MAX(0,MIN(C10+5,40)-MAX(C10,35))*6000+MAX(0,MIN(D10+6,40)-MAX(D10,35))*1000+MAX(0,MIN(E10+4,40)-MAX(E10,35))*2000+MAX(0,MIN(F10+8,40)-MAX(F10,35))*1500+MAX(0,MIN(G10+5,40)-MAX(G10,35))*500+MAX(0,MIN(H10+3,40)-MAX(H10,35))*1000+MAX(0,MIN(I10+4,40)-MAX(I10,35))*1000+MAX(0,MIN(J10+2,40)-MAX(J10,35))*1250)</f>
        <v/>
      </c>
      <c r="S10" s="17">
        <f>IF(COUNT(B10:J10)&lt;9,"",SUM(K10:R10))</f>
        <v/>
      </c>
    </row>
    <row r="12">
      <c r="A12" s="18" t="inlineStr">
        <is>
          <t>Cumulative</t>
        </is>
      </c>
    </row>
    <row r="13" ht="30" customHeight="1">
      <c r="A13" s="3" t="inlineStr">
        <is>
          <t>Schedule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Wk 1</t>
        </is>
      </c>
      <c r="L13" s="3" t="inlineStr">
        <is>
          <t>Wk 2</t>
        </is>
      </c>
      <c r="M13" s="3" t="inlineStr">
        <is>
          <t>Wk 3</t>
        </is>
      </c>
      <c r="N13" s="3" t="inlineStr">
        <is>
          <t>Wk 4</t>
        </is>
      </c>
      <c r="O13" s="3" t="inlineStr">
        <is>
          <t>Wk 5</t>
        </is>
      </c>
      <c r="P13" s="3" t="inlineStr">
        <is>
          <t>Wk 6</t>
        </is>
      </c>
      <c r="Q13" s="3" t="inlineStr">
        <is>
          <t>Wk 7</t>
        </is>
      </c>
      <c r="R13" s="3" t="inlineStr">
        <is>
          <t>Wk 8</t>
        </is>
      </c>
      <c r="S13" s="3" t="inlineStr"/>
    </row>
    <row r="14">
      <c r="A14" s="19" t="inlineStr">
        <is>
          <t>Early start (ES)</t>
        </is>
      </c>
      <c r="K14" s="6">
        <f>IF(K5="","",SUM($K5:K5))</f>
        <v/>
      </c>
      <c r="L14" s="6">
        <f>IF(K5="","",SUM($K5:L5))</f>
        <v/>
      </c>
      <c r="M14" s="6">
        <f>IF(K5="","",SUM($K5:M5))</f>
        <v/>
      </c>
      <c r="N14" s="6">
        <f>IF(K5="","",SUM($K5:N5))</f>
        <v/>
      </c>
      <c r="O14" s="6">
        <f>IF(K5="","",SUM($K5:O5))</f>
        <v/>
      </c>
      <c r="P14" s="6">
        <f>IF(K5="","",SUM($K5:P5))</f>
        <v/>
      </c>
      <c r="Q14" s="6">
        <f>IF(K5="","",SUM($K5:Q5))</f>
        <v/>
      </c>
      <c r="R14" s="6">
        <f>IF(K5="","",SUM($K5:R5))</f>
        <v/>
      </c>
    </row>
    <row r="15">
      <c r="A15" s="19" t="inlineStr">
        <is>
          <t>Late start (LS)</t>
        </is>
      </c>
      <c r="K15" s="6">
        <f>IF(K6="","",SUM($K6:K6))</f>
        <v/>
      </c>
      <c r="L15" s="6">
        <f>IF(K6="","",SUM($K6:L6))</f>
        <v/>
      </c>
      <c r="M15" s="6">
        <f>IF(K6="","",SUM($K6:M6))</f>
        <v/>
      </c>
      <c r="N15" s="6">
        <f>IF(K6="","",SUM($K6:N6))</f>
        <v/>
      </c>
      <c r="O15" s="6">
        <f>IF(K6="","",SUM($K6:O6))</f>
        <v/>
      </c>
      <c r="P15" s="6">
        <f>IF(K6="","",SUM($K6:P6))</f>
        <v/>
      </c>
      <c r="Q15" s="6">
        <f>IF(K6="","",SUM($K6:Q6))</f>
        <v/>
      </c>
      <c r="R15" s="6">
        <f>IF(K6="","",SUM($K6:R6))</f>
        <v/>
      </c>
    </row>
    <row r="16">
      <c r="A16" s="19" t="inlineStr">
        <is>
          <t>Levelled, 3 coordinators</t>
        </is>
      </c>
      <c r="K16" s="6">
        <f>IF(K7="","",SUM($K7:K7))</f>
        <v/>
      </c>
      <c r="L16" s="6">
        <f>IF(K7="","",SUM($K7:L7))</f>
        <v/>
      </c>
      <c r="M16" s="6">
        <f>IF(K7="","",SUM($K7:M7))</f>
        <v/>
      </c>
      <c r="N16" s="6">
        <f>IF(K7="","",SUM($K7:N7))</f>
        <v/>
      </c>
      <c r="O16" s="6">
        <f>IF(K7="","",SUM($K7:O7))</f>
        <v/>
      </c>
      <c r="P16" s="6">
        <f>IF(K7="","",SUM($K7:P7))</f>
        <v/>
      </c>
      <c r="Q16" s="6">
        <f>IF(K7="","",SUM($K7:Q7))</f>
        <v/>
      </c>
      <c r="R16" s="6">
        <f>IF(K7="","",SUM($K7:R7))</f>
        <v/>
      </c>
    </row>
    <row r="17">
      <c r="A17" s="19" t="inlineStr">
        <is>
          <t>Levelled, 2 coordinators (yours)</t>
        </is>
      </c>
      <c r="K17" s="6">
        <f>IF(K8="","",SUM($K8:K8))</f>
        <v/>
      </c>
      <c r="L17" s="6">
        <f>IF(K8="","",SUM($K8:L8))</f>
        <v/>
      </c>
      <c r="M17" s="6">
        <f>IF(K8="","",SUM($K8:M8))</f>
        <v/>
      </c>
      <c r="N17" s="6">
        <f>IF(K8="","",SUM($K8:N8))</f>
        <v/>
      </c>
      <c r="O17" s="6">
        <f>IF(K8="","",SUM($K8:O8))</f>
        <v/>
      </c>
      <c r="P17" s="6">
        <f>IF(K8="","",SUM($K8:P8))</f>
        <v/>
      </c>
      <c r="Q17" s="6">
        <f>IF(K8="","",SUM($K8:Q8))</f>
        <v/>
      </c>
      <c r="R17" s="6">
        <f>IF(K8="","",SUM($K8:R8))</f>
        <v/>
      </c>
    </row>
    <row r="18">
      <c r="A18" s="19" t="inlineStr">
        <is>
          <t>Optimum, 2 coordinators (Part 3)</t>
        </is>
      </c>
      <c r="K18" s="6">
        <f>IF(K9="","",SUM($K9:K9))</f>
        <v/>
      </c>
      <c r="L18" s="6">
        <f>IF(K9="","",SUM($K9:L9))</f>
        <v/>
      </c>
      <c r="M18" s="6">
        <f>IF(K9="","",SUM($K9:M9))</f>
        <v/>
      </c>
      <c r="N18" s="6">
        <f>IF(K9="","",SUM($K9:N9))</f>
        <v/>
      </c>
      <c r="O18" s="6">
        <f>IF(K9="","",SUM($K9:O9))</f>
        <v/>
      </c>
      <c r="P18" s="6">
        <f>IF(K9="","",SUM($K9:P9))</f>
        <v/>
      </c>
      <c r="Q18" s="6">
        <f>IF(K9="","",SUM($K9:Q9))</f>
        <v/>
      </c>
      <c r="R18" s="6">
        <f>IF(K9="","",SUM($K9:R9))</f>
        <v/>
      </c>
    </row>
    <row r="19">
      <c r="A19" s="19" t="inlineStr">
        <is>
          <t>Two coordinators plus a 5-day loan (Part 3)</t>
        </is>
      </c>
      <c r="K19" s="6">
        <f>IF(K10="","",SUM($K10:K10))</f>
        <v/>
      </c>
      <c r="L19" s="6">
        <f>IF(K10="","",SUM($K10:L10))</f>
        <v/>
      </c>
      <c r="M19" s="6">
        <f>IF(K10="","",SUM($K10:M10))</f>
        <v/>
      </c>
      <c r="N19" s="6">
        <f>IF(K10="","",SUM($K10:N10))</f>
        <v/>
      </c>
      <c r="O19" s="6">
        <f>IF(K10="","",SUM($K10:O10))</f>
        <v/>
      </c>
      <c r="P19" s="6">
        <f>IF(K10="","",SUM($K10:P10))</f>
        <v/>
      </c>
      <c r="Q19" s="6">
        <f>IF(K10="","",SUM($K10:Q10))</f>
        <v/>
      </c>
      <c r="R19" s="6">
        <f>IF(K10="","",SUM($K10:R10))</f>
        <v/>
      </c>
    </row>
    <row r="21" ht="60" customHeight="1">
      <c r="A21" s="8" t="inlineStr">
        <is>
          <t>Status check: at the end of week 2 the sponsor has been invoiced $52,000. Against which baseline is that over, and what would you need to know before saying so?</t>
        </is>
      </c>
      <c r="K21" s="15" t="n"/>
      <c r="L21" s="20" t="n"/>
      <c r="M21" s="20" t="n"/>
      <c r="N21" s="20" t="n"/>
      <c r="O21" s="20" t="n"/>
      <c r="P21" s="20" t="n"/>
      <c r="Q21" s="20" t="n"/>
      <c r="R21" s="20" t="n"/>
      <c r="S21" s="21" t="n"/>
    </row>
  </sheetData>
  <mergeCells count="2">
    <mergeCell ref="K21:S21"/>
    <mergeCell ref="A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6" customWidth="1" min="5" max="5"/>
    <col width="28" customWidth="1" min="6" max="6"/>
  </cols>
  <sheetData>
    <row r="1">
      <c r="A1" s="1" t="inlineStr">
        <is>
          <t>AI levelling · reconciliation</t>
        </is>
      </c>
    </row>
    <row r="2">
      <c r="A2" s="2" t="inlineStr">
        <is>
          <t>Gemini levels the two-coordinator case cold. Compare its schedule with yours and with the optimum, line by line.</t>
        </is>
      </c>
    </row>
    <row r="4" ht="30" customHeight="1">
      <c r="A4" s="3" t="inlineStr">
        <is>
          <t>Line</t>
        </is>
      </c>
      <c r="B4" s="3" t="inlineStr">
        <is>
          <t>Your value</t>
        </is>
      </c>
      <c r="C4" s="3" t="inlineStr">
        <is>
          <t>Model's value</t>
        </is>
      </c>
      <c r="D4" s="3" t="inlineStr">
        <is>
          <t>Optimum</t>
        </is>
      </c>
      <c r="E4" s="3" t="inlineStr">
        <is>
          <t>Who is right, and why</t>
        </is>
      </c>
      <c r="F4" s="3" t="inlineStr">
        <is>
          <t>Change made</t>
        </is>
      </c>
    </row>
    <row r="5" ht="36" customHeight="1">
      <c r="A5" s="19" t="inlineStr">
        <is>
          <t>Finish day</t>
        </is>
      </c>
      <c r="B5" s="15" t="n"/>
      <c r="C5" s="15" t="n"/>
      <c r="D5" s="15" t="n"/>
      <c r="E5" s="15" t="n"/>
      <c r="F5" s="15" t="n"/>
    </row>
    <row r="6" ht="36" customHeight="1">
      <c r="A6" s="19" t="inlineStr">
        <is>
          <t>Start of B</t>
        </is>
      </c>
      <c r="B6" s="15" t="n"/>
      <c r="C6" s="15" t="n"/>
      <c r="D6" s="15" t="n"/>
      <c r="E6" s="15" t="n"/>
      <c r="F6" s="15" t="n"/>
    </row>
    <row r="7" ht="36" customHeight="1">
      <c r="A7" s="19" t="inlineStr">
        <is>
          <t>Start of C</t>
        </is>
      </c>
      <c r="B7" s="15" t="n"/>
      <c r="C7" s="15" t="n"/>
      <c r="D7" s="15" t="n"/>
      <c r="E7" s="15" t="n"/>
      <c r="F7" s="15" t="n"/>
    </row>
    <row r="8" ht="36" customHeight="1">
      <c r="A8" s="19" t="inlineStr">
        <is>
          <t>Start of E</t>
        </is>
      </c>
      <c r="B8" s="15" t="n"/>
      <c r="C8" s="15" t="n"/>
      <c r="D8" s="15" t="n"/>
      <c r="E8" s="15" t="n"/>
      <c r="F8" s="15" t="n"/>
    </row>
    <row r="9" ht="36" customHeight="1">
      <c r="A9" s="19" t="inlineStr">
        <is>
          <t>Peak coordinators</t>
        </is>
      </c>
      <c r="B9" s="15" t="n"/>
      <c r="C9" s="15" t="n"/>
      <c r="D9" s="15" t="n"/>
      <c r="E9" s="15" t="n"/>
      <c r="F9" s="15" t="n"/>
    </row>
    <row r="10" ht="36" customHeight="1">
      <c r="A10" s="19" t="inlineStr">
        <is>
          <t>Any day over the limit?</t>
        </is>
      </c>
      <c r="B10" s="15" t="n"/>
      <c r="C10" s="15" t="n"/>
      <c r="D10" s="15" t="n"/>
      <c r="E10" s="15" t="n"/>
      <c r="F10" s="15" t="n"/>
    </row>
    <row r="11" ht="36" customHeight="1">
      <c r="A11" s="19" t="inlineStr">
        <is>
          <t>Any predecessor violated?</t>
        </is>
      </c>
      <c r="B11" s="15" t="n"/>
      <c r="C11" s="15" t="n"/>
      <c r="D11" s="15" t="n"/>
      <c r="E11" s="15" t="n"/>
      <c r="F11" s="15" t="n"/>
    </row>
    <row r="12" ht="36" customHeight="1">
      <c r="A12" s="19" t="inlineStr">
        <is>
          <t>Any activity split?</t>
        </is>
      </c>
      <c r="B12" s="15" t="n"/>
      <c r="C12" s="15" t="n"/>
      <c r="D12" s="15" t="n"/>
      <c r="E12" s="15" t="n"/>
      <c r="F12" s="15" t="n"/>
    </row>
    <row r="13" ht="36" customHeight="1">
      <c r="A13" s="19" t="inlineStr">
        <is>
          <t>Where it put the five-day loan</t>
        </is>
      </c>
      <c r="B13" s="15" t="n"/>
      <c r="C13" s="15" t="n"/>
      <c r="D13" s="15" t="n"/>
      <c r="E13" s="15" t="n"/>
      <c r="F13" s="15" t="n"/>
    </row>
    <row r="14" ht="36" customHeight="1">
      <c r="A14" s="19" t="inlineStr">
        <is>
          <t>Other</t>
        </is>
      </c>
      <c r="B14" s="15" t="n"/>
      <c r="C14" s="15" t="n"/>
      <c r="D14" s="15" t="n"/>
      <c r="E14" s="15" t="n"/>
      <c r="F1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Harun Pirim</dc:creator>
  <dc:title>Week 9 resource studio workbook</dc:title>
  <dcterms:created xsi:type="dcterms:W3CDTF">2026-10-19T21:55:53Z</dcterms:created>
  <dcterms:modified xsi:type="dcterms:W3CDTF">2026-10-19T21:55:53Z</dcterms:modified>
</cp:coreProperties>
</file>