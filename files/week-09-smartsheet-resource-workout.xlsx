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sheet Import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0F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" t="inlineStr">
        <is>
          <t>Activity</t>
        </is>
      </c>
      <c r="B1" s="1" t="inlineStr">
        <is>
          <t>ID</t>
        </is>
      </c>
      <c r="C1" s="1" t="inlineStr">
        <is>
          <t>Duration</t>
        </is>
      </c>
      <c r="D1" s="1" t="inlineStr">
        <is>
          <t>Predecessors</t>
        </is>
      </c>
      <c r="E1" s="1" t="inlineStr">
        <is>
          <t>Assigned To</t>
        </is>
      </c>
      <c r="F1" s="1" t="inlineStr">
        <is>
          <t>Allocation %</t>
        </is>
      </c>
      <c r="G1" s="1" t="inlineStr">
        <is>
          <t>Cost</t>
        </is>
      </c>
      <c r="H1" s="1" t="inlineStr">
        <is>
          <t>Coordinators needed</t>
        </is>
      </c>
    </row>
    <row r="2">
      <c r="A2" s="2" t="inlineStr">
        <is>
          <t>Approve event brief</t>
        </is>
      </c>
      <c r="B2" s="3" t="inlineStr">
        <is>
          <t>A</t>
        </is>
      </c>
      <c r="C2" s="3" t="inlineStr">
        <is>
          <t>2d</t>
        </is>
      </c>
      <c r="D2" s="3" t="inlineStr"/>
      <c r="E2" s="3" t="inlineStr">
        <is>
          <t>Kim</t>
        </is>
      </c>
      <c r="F2" s="3" t="n">
        <v>100</v>
      </c>
      <c r="G2" s="4" t="n">
        <v>2000</v>
      </c>
      <c r="H2" s="3" t="n">
        <v>1</v>
      </c>
    </row>
    <row r="3">
      <c r="A3" s="2" t="inlineStr">
        <is>
          <t>Contract venue</t>
        </is>
      </c>
      <c r="B3" s="3" t="inlineStr">
        <is>
          <t>B</t>
        </is>
      </c>
      <c r="C3" s="3" t="inlineStr">
        <is>
          <t>5d</t>
        </is>
      </c>
      <c r="D3" s="3" t="inlineStr">
        <is>
          <t>1</t>
        </is>
      </c>
      <c r="E3" s="3" t="inlineStr">
        <is>
          <t>Kim, Lee</t>
        </is>
      </c>
      <c r="F3" s="3" t="n">
        <v>100</v>
      </c>
      <c r="G3" s="4" t="n">
        <v>30000</v>
      </c>
      <c r="H3" s="3" t="n">
        <v>2</v>
      </c>
    </row>
    <row r="4">
      <c r="A4" s="2" t="inlineStr">
        <is>
          <t>Draft program</t>
        </is>
      </c>
      <c r="B4" s="3" t="inlineStr">
        <is>
          <t>C</t>
        </is>
      </c>
      <c r="C4" s="3" t="inlineStr">
        <is>
          <t>6d</t>
        </is>
      </c>
      <c r="D4" s="3" t="inlineStr">
        <is>
          <t>1</t>
        </is>
      </c>
      <c r="E4" s="3" t="inlineStr">
        <is>
          <t>Ortiz</t>
        </is>
      </c>
      <c r="F4" s="3" t="n">
        <v>100</v>
      </c>
      <c r="G4" s="4" t="n">
        <v>6000</v>
      </c>
      <c r="H4" s="3" t="n">
        <v>1</v>
      </c>
    </row>
    <row r="5">
      <c r="A5" s="2" t="inlineStr">
        <is>
          <t>Configure registration</t>
        </is>
      </c>
      <c r="B5" s="3" t="inlineStr">
        <is>
          <t>D</t>
        </is>
      </c>
      <c r="C5" s="3" t="inlineStr">
        <is>
          <t>4d</t>
        </is>
      </c>
      <c r="D5" s="3" t="inlineStr">
        <is>
          <t>2</t>
        </is>
      </c>
      <c r="E5" s="3" t="inlineStr">
        <is>
          <t>Kim</t>
        </is>
      </c>
      <c r="F5" s="3" t="n">
        <v>100</v>
      </c>
      <c r="G5" s="4" t="n">
        <v>8000</v>
      </c>
      <c r="H5" s="3" t="n">
        <v>1</v>
      </c>
    </row>
    <row r="6">
      <c r="A6" s="2" t="inlineStr">
        <is>
          <t>Confirm speakers</t>
        </is>
      </c>
      <c r="B6" s="3" t="inlineStr">
        <is>
          <t>E</t>
        </is>
      </c>
      <c r="C6" s="3" t="inlineStr">
        <is>
          <t>8d</t>
        </is>
      </c>
      <c r="D6" s="3" t="inlineStr">
        <is>
          <t>3</t>
        </is>
      </c>
      <c r="E6" s="3" t="inlineStr">
        <is>
          <t>Lee, Ortiz</t>
        </is>
      </c>
      <c r="F6" s="3" t="n">
        <v>100</v>
      </c>
      <c r="G6" s="4" t="n">
        <v>12000</v>
      </c>
      <c r="H6" s="3" t="n">
        <v>2</v>
      </c>
    </row>
    <row r="7">
      <c r="A7" s="2" t="inlineStr">
        <is>
          <t>Recruit exhibitors</t>
        </is>
      </c>
      <c r="B7" s="3" t="inlineStr">
        <is>
          <t>F</t>
        </is>
      </c>
      <c r="C7" s="3" t="inlineStr">
        <is>
          <t>5d</t>
        </is>
      </c>
      <c r="D7" s="3" t="inlineStr">
        <is>
          <t>3</t>
        </is>
      </c>
      <c r="E7" s="3" t="inlineStr">
        <is>
          <t>Kim, Lee</t>
        </is>
      </c>
      <c r="F7" s="3" t="n">
        <v>100</v>
      </c>
      <c r="G7" s="4" t="n">
        <v>2500</v>
      </c>
      <c r="H7" s="3" t="n">
        <v>2</v>
      </c>
    </row>
    <row r="8">
      <c r="A8" s="2" t="inlineStr">
        <is>
          <t>Publish program</t>
        </is>
      </c>
      <c r="B8" s="3" t="inlineStr">
        <is>
          <t>G</t>
        </is>
      </c>
      <c r="C8" s="3" t="inlineStr">
        <is>
          <t>3d</t>
        </is>
      </c>
      <c r="D8" s="3" t="inlineStr">
        <is>
          <t>4, 5</t>
        </is>
      </c>
      <c r="E8" s="3" t="inlineStr">
        <is>
          <t>Kim</t>
        </is>
      </c>
      <c r="F8" s="3" t="n">
        <v>100</v>
      </c>
      <c r="G8" s="4" t="n">
        <v>3000</v>
      </c>
      <c r="H8" s="3" t="n">
        <v>1</v>
      </c>
    </row>
    <row r="9">
      <c r="A9" s="2" t="inlineStr">
        <is>
          <t>Prepare on-site materials</t>
        </is>
      </c>
      <c r="B9" s="3" t="inlineStr">
        <is>
          <t>H</t>
        </is>
      </c>
      <c r="C9" s="3" t="inlineStr">
        <is>
          <t>4d</t>
        </is>
      </c>
      <c r="D9" s="3" t="inlineStr">
        <is>
          <t>6, 7</t>
        </is>
      </c>
      <c r="E9" s="3" t="inlineStr">
        <is>
          <t>Kim, Lee</t>
        </is>
      </c>
      <c r="F9" s="3" t="n">
        <v>100</v>
      </c>
      <c r="G9" s="4" t="n">
        <v>4000</v>
      </c>
      <c r="H9" s="3" t="n">
        <v>2</v>
      </c>
    </row>
    <row r="10">
      <c r="A10" s="2" t="inlineStr">
        <is>
          <t>Complete rehearsal</t>
        </is>
      </c>
      <c r="B10" s="3" t="inlineStr">
        <is>
          <t>I</t>
        </is>
      </c>
      <c r="C10" s="3" t="inlineStr">
        <is>
          <t>2d</t>
        </is>
      </c>
      <c r="D10" s="3" t="inlineStr">
        <is>
          <t>8</t>
        </is>
      </c>
      <c r="E10" s="3" t="inlineStr">
        <is>
          <t>Lee, Ortiz</t>
        </is>
      </c>
      <c r="F10" s="3" t="n">
        <v>100</v>
      </c>
      <c r="G10" s="4" t="n">
        <v>2500</v>
      </c>
      <c r="H10" s="3" t="n">
        <v>2</v>
      </c>
    </row>
    <row r="12">
      <c r="A12" s="5" t="inlineStr">
        <is>
          <t>Import this tab. Predecessors are Smartsheet row numbers (A = row 1). Assigned To holds the early-start assignment of three coordinators; Allocation % is 100 per person.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90" customWidth="1" min="3" max="3"/>
    <col width="40" customWidth="1" min="4" max="4"/>
  </cols>
  <sheetData>
    <row r="1" ht="30" customHeight="1">
      <c r="A1" s="1" t="inlineStr">
        <is>
          <t>Column or field</t>
        </is>
      </c>
      <c r="B1" s="1" t="inlineStr">
        <is>
          <t>Where</t>
        </is>
      </c>
      <c r="C1" s="1" t="inlineStr">
        <is>
          <t>Smartsheet formula</t>
        </is>
      </c>
      <c r="D1" s="1" t="inlineStr">
        <is>
          <t>Note</t>
        </is>
      </c>
    </row>
    <row r="2">
      <c r="A2" s="6" t="inlineStr">
        <is>
          <t>Cost per day</t>
        </is>
      </c>
      <c r="B2" s="6" t="inlineStr">
        <is>
          <t>column</t>
        </is>
      </c>
      <c r="C2" s="6">
        <f>Cost@row / NETWORKDAYS([Start Date]@row, [End Date]@row)</f>
        <v/>
      </c>
      <c r="D2" s="6" t="inlineStr">
        <is>
          <t>Direct cost spread evenly over the activity's workdays</t>
        </is>
      </c>
    </row>
    <row r="3">
      <c r="A3" s="6" t="inlineStr">
        <is>
          <t>Workday start</t>
        </is>
      </c>
      <c r="B3" s="6" t="inlineStr">
        <is>
          <t>column</t>
        </is>
      </c>
      <c r="C3" s="6">
        <f>NETWORKDAYS([Start Date]$1, [Start Date]@row) - 1</f>
        <v/>
      </c>
      <c r="D3" s="6" t="inlineStr">
        <is>
          <t>0 = project start; matches the notes' day numbers</t>
        </is>
      </c>
    </row>
    <row r="4">
      <c r="A4" s="6" t="inlineStr">
        <is>
          <t>Workday finish</t>
        </is>
      </c>
      <c r="B4" s="6" t="inlineStr">
        <is>
          <t>column</t>
        </is>
      </c>
      <c r="C4" s="6">
        <f>NETWORKDAYS([Start Date]$1, [End Date]@row)</f>
        <v/>
      </c>
      <c r="D4" s="6" t="inlineStr">
        <is>
          <t>Finish day as the notes count it</t>
        </is>
      </c>
    </row>
    <row r="5">
      <c r="A5" s="6" t="inlineStr">
        <is>
          <t>Wk 1 PV</t>
        </is>
      </c>
      <c r="B5" s="6" t="inlineStr">
        <is>
          <t>column</t>
        </is>
      </c>
      <c r="C5" s="6">
        <f>MAX(0, NETWORKDAYS(IF([Start Date]@row &gt; DATE(2026, 11, 2), [Start Date]@row, DATE(2026, 11, 2)), IF([End Date]@row &lt; DATE(2026, 11, 6), [End Date]@row, DATE(2026, 11, 6)))) * [Cost per day]@row</f>
        <v/>
      </c>
      <c r="D5" s="6" t="inlineStr">
        <is>
          <t>Planned value in week 1: Mon 2 Nov to Fri 6 Nov</t>
        </is>
      </c>
    </row>
    <row r="6">
      <c r="A6" s="6" t="inlineStr">
        <is>
          <t>Wk 2 PV</t>
        </is>
      </c>
      <c r="B6" s="6" t="inlineStr">
        <is>
          <t>column</t>
        </is>
      </c>
      <c r="C6" s="6">
        <f>MAX(0, NETWORKDAYS(IF([Start Date]@row &gt; DATE(2026, 11, 9), [Start Date]@row, DATE(2026, 11, 9)), IF([End Date]@row &lt; DATE(2026, 11, 13), [End Date]@row, DATE(2026, 11, 13)))) * [Cost per day]@row</f>
        <v/>
      </c>
      <c r="D6" s="6" t="inlineStr">
        <is>
          <t>Planned value in week 2: Mon 9 Nov to Fri 13 Nov</t>
        </is>
      </c>
    </row>
    <row r="7">
      <c r="A7" s="6" t="inlineStr">
        <is>
          <t>Wk 3 PV</t>
        </is>
      </c>
      <c r="B7" s="6" t="inlineStr">
        <is>
          <t>column</t>
        </is>
      </c>
      <c r="C7" s="6">
        <f>MAX(0, NETWORKDAYS(IF([Start Date]@row &gt; DATE(2026, 11, 16), [Start Date]@row, DATE(2026, 11, 16)), IF([End Date]@row &lt; DATE(2026, 11, 20), [End Date]@row, DATE(2026, 11, 20)))) * [Cost per day]@row</f>
        <v/>
      </c>
      <c r="D7" s="6" t="inlineStr">
        <is>
          <t>Planned value in week 3: Mon 16 Nov to Fri 20 Nov</t>
        </is>
      </c>
    </row>
    <row r="8">
      <c r="A8" s="6" t="inlineStr">
        <is>
          <t>Wk 4 PV</t>
        </is>
      </c>
      <c r="B8" s="6" t="inlineStr">
        <is>
          <t>column</t>
        </is>
      </c>
      <c r="C8" s="6">
        <f>MAX(0, NETWORKDAYS(IF([Start Date]@row &gt; DATE(2026, 11, 23), [Start Date]@row, DATE(2026, 11, 23)), IF([End Date]@row &lt; DATE(2026, 11, 27), [End Date]@row, DATE(2026, 11, 27)))) * [Cost per day]@row</f>
        <v/>
      </c>
      <c r="D8" s="6" t="inlineStr">
        <is>
          <t>Planned value in week 4: Mon 23 Nov to Fri 27 Nov</t>
        </is>
      </c>
    </row>
    <row r="9">
      <c r="A9" s="6" t="inlineStr">
        <is>
          <t>Wk 5 PV</t>
        </is>
      </c>
      <c r="B9" s="6" t="inlineStr">
        <is>
          <t>column</t>
        </is>
      </c>
      <c r="C9" s="6">
        <f>MAX(0, NETWORKDAYS(IF([Start Date]@row &gt; DATE(2026, 11, 30), [Start Date]@row, DATE(2026, 11, 30)), IF([End Date]@row &lt; DATE(2026, 12, 4), [End Date]@row, DATE(2026, 12, 4)))) * [Cost per day]@row</f>
        <v/>
      </c>
      <c r="D9" s="6" t="inlineStr">
        <is>
          <t>Planned value in week 5: Mon 30 Nov to Fri 4 Dec</t>
        </is>
      </c>
    </row>
    <row r="10">
      <c r="A10" s="6" t="inlineStr">
        <is>
          <t>Wk 6 PV</t>
        </is>
      </c>
      <c r="B10" s="6" t="inlineStr">
        <is>
          <t>column</t>
        </is>
      </c>
      <c r="C10" s="6">
        <f>MAX(0, NETWORKDAYS(IF([Start Date]@row &gt; DATE(2026, 12, 7), [Start Date]@row, DATE(2026, 12, 7)), IF([End Date]@row &lt; DATE(2026, 12, 11), [End Date]@row, DATE(2026, 12, 11)))) * [Cost per day]@row</f>
        <v/>
      </c>
      <c r="D10" s="6" t="inlineStr">
        <is>
          <t>Planned value in week 6: Mon 7 Dec to Fri 11 Dec</t>
        </is>
      </c>
    </row>
    <row r="11">
      <c r="A11" s="6" t="inlineStr">
        <is>
          <t>Wk 7 PV</t>
        </is>
      </c>
      <c r="B11" s="6" t="inlineStr">
        <is>
          <t>column</t>
        </is>
      </c>
      <c r="C11" s="6">
        <f>MAX(0, NETWORKDAYS(IF([Start Date]@row &gt; DATE(2026, 12, 14), [Start Date]@row, DATE(2026, 12, 14)), IF([End Date]@row &lt; DATE(2026, 12, 18), [End Date]@row, DATE(2026, 12, 18)))) * [Cost per day]@row</f>
        <v/>
      </c>
      <c r="D11" s="6" t="inlineStr">
        <is>
          <t>Planned value in week 7: Mon 14 Dec to Fri 18 Dec</t>
        </is>
      </c>
    </row>
    <row r="12">
      <c r="A12" s="6" t="inlineStr">
        <is>
          <t>Wk 8 PV</t>
        </is>
      </c>
      <c r="B12" s="6" t="inlineStr">
        <is>
          <t>column</t>
        </is>
      </c>
      <c r="C12" s="6">
        <f>MAX(0, NETWORKDAYS(IF([Start Date]@row &gt; DATE(2026, 12, 21), [Start Date]@row, DATE(2026, 12, 21)), IF([End Date]@row &lt; DATE(2026, 12, 25), [End Date]@row, DATE(2026, 12, 25)))) * [Cost per day]@row</f>
        <v/>
      </c>
      <c r="D12" s="6" t="inlineStr">
        <is>
          <t>Planned value in week 8: Mon 21 Dec to Fri 25 Dec</t>
        </is>
      </c>
    </row>
    <row r="13">
      <c r="A13" s="6" t="inlineStr">
        <is>
          <t>Project finish</t>
        </is>
      </c>
      <c r="B13" s="6" t="inlineStr">
        <is>
          <t>Sheet Summary</t>
        </is>
      </c>
      <c r="C13" s="6">
        <f>MAX([End Date]:[End Date])</f>
        <v/>
      </c>
      <c r="D13" s="6" t="inlineStr">
        <is>
          <t>Date type</t>
        </is>
      </c>
    </row>
    <row r="14">
      <c r="A14" s="6" t="inlineStr">
        <is>
          <t>Workdays</t>
        </is>
      </c>
      <c r="B14" s="6" t="inlineStr">
        <is>
          <t>Sheet Summary</t>
        </is>
      </c>
      <c r="C14" s="6">
        <f>MAX([Workday finish]:[Workday finish])</f>
        <v/>
      </c>
      <c r="D14" s="6" t="inlineStr">
        <is>
          <t>25 on the early-start schedule</t>
        </is>
      </c>
    </row>
    <row r="15">
      <c r="A15" s="6" t="inlineStr">
        <is>
          <t>Wk n total</t>
        </is>
      </c>
      <c r="B15" s="6" t="inlineStr">
        <is>
          <t>Sheet Summary</t>
        </is>
      </c>
      <c r="C15" s="6">
        <f>SUM([Wk 1 PV]:[Wk 1 PV])  (one field per week)</f>
        <v/>
      </c>
      <c r="D15" s="6" t="inlineStr">
        <is>
          <t>Weekly planned value</t>
        </is>
      </c>
    </row>
    <row r="16">
      <c r="A16" s="6" t="inlineStr">
        <is>
          <t>Cumulative to wk n</t>
        </is>
      </c>
      <c r="B16" s="6" t="inlineStr">
        <is>
          <t>Sheet Summary</t>
        </is>
      </c>
      <c r="C16" s="6">
        <f>[Wk 1 total]# + [Wk 2 total]#  (extend per week)</f>
        <v/>
      </c>
      <c r="D16" s="6" t="inlineStr">
        <is>
          <t>The baseline curve</t>
        </is>
      </c>
    </row>
    <row r="17">
      <c r="A17" s="6" t="inlineStr">
        <is>
          <t>Total cost</t>
        </is>
      </c>
      <c r="B17" s="6" t="inlineStr">
        <is>
          <t>Sheet Summary</t>
        </is>
      </c>
      <c r="C17" s="6">
        <f>SUM(Cost:Cost)</f>
        <v/>
      </c>
      <c r="D17" s="6" t="inlineStr">
        <is>
          <t>Must read $70,000 under every schedule</t>
        </is>
      </c>
    </row>
    <row r="20">
      <c r="A20" s="5" t="inlineStr">
        <is>
          <t>Smartsheet imports values, not formulas. Type each formula once in row 1, then right-click → Convert to Column Formula. Summary fields are typed in the Sheet Summary panel.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2026-10-20T01:55:27Z</dcterms:created>
  <dcterms:modified xmlns:dcterms="http://purl.org/dc/terms/" xmlns:xsi="http://www.w3.org/2001/XMLSchema-instance" xsi:type="dcterms:W3CDTF">2026-10-20T01:55:27Z</dcterms:modified>
</cp:coreProperties>
</file>