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cales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PERT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0F5A4B"/>
      <sz val="14"/>
    </font>
    <font>
      <i val="1"/>
      <color rgb="00555555"/>
    </font>
    <font>
      <b val="1"/>
      <color rgb="00FFFFFF"/>
    </font>
    <font>
      <b val="1"/>
      <color rgb="000F5A4B"/>
    </font>
    <font>
      <b val="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0F5A4B"/>
      </patternFill>
    </fill>
    <fill>
      <patternFill patternType="solid">
        <fgColor rgb="00FFF2CC"/>
      </patternFill>
    </fill>
    <fill>
      <patternFill patternType="solid">
        <fgColor rgb="00E9F3EF"/>
      </patternFill>
    </fill>
    <fill>
      <patternFill patternType="solid">
        <fgColor rgb="008FB8AD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3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FF0F5A4B"/>
          <bgColor rgb="FF0F5A4B"/>
        </patternFill>
      </fill>
    </dxf>
    <dxf>
      <fill>
        <patternFill patternType="solid">
          <fgColor rgb="FF8FB8AD"/>
          <bgColor rgb="FF8FB8AD"/>
        </patternFill>
      </fill>
    </dxf>
    <dxf>
      <fill>
        <patternFill patternType="solid">
          <fgColor rgb="FFE9F3EF"/>
          <bgColor rgb="FFE9F3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26" customWidth="1" min="4" max="4"/>
    <col width="30" customWidth="1" min="5" max="5"/>
    <col width="26" customWidth="1" min="6" max="6"/>
    <col width="5" customWidth="1" min="7" max="7"/>
    <col width="5" customWidth="1" min="8" max="8"/>
    <col width="5" customWidth="1" min="9" max="9"/>
    <col width="7" customWidth="1" min="10" max="10"/>
    <col width="11" customWidth="1" min="11" max="11"/>
    <col width="13" customWidth="1" min="12" max="12"/>
    <col width="30" customWidth="1" min="13" max="13"/>
    <col width="30" customWidth="1" min="14" max="14"/>
    <col width="26" customWidth="1" min="15" max="15"/>
    <col width="16" customWidth="1" min="16" max="16"/>
    <col width="11" customWidth="1" min="17" max="17"/>
  </cols>
  <sheetData>
    <row r="1">
      <c r="A1" s="1" t="inlineStr">
        <is>
          <t>Studio 7 · Conference risk register</t>
        </is>
      </c>
    </row>
    <row r="2">
      <c r="A2" s="2" t="inlineStr">
        <is>
          <t>Fill the yellow cells. Rate L, I and D with the Scales sheet. RPN and Zone calculate. Write the register before using AI.</t>
        </is>
      </c>
    </row>
    <row r="4">
      <c r="A4" s="3" t="inlineStr">
        <is>
          <t>ID</t>
        </is>
      </c>
      <c r="B4" s="3" t="inlineStr">
        <is>
          <t>RBS category</t>
        </is>
      </c>
      <c r="C4" s="3" t="inlineStr">
        <is>
          <t>Threat or opportunity</t>
        </is>
      </c>
      <c r="D4" s="3" t="inlineStr">
        <is>
          <t>Cause</t>
        </is>
      </c>
      <c r="E4" s="3" t="inlineStr">
        <is>
          <t>Risk event</t>
        </is>
      </c>
      <c r="F4" s="3" t="inlineStr">
        <is>
          <t>Effect</t>
        </is>
      </c>
      <c r="G4" s="3" t="inlineStr">
        <is>
          <t>L</t>
        </is>
      </c>
      <c r="H4" s="3" t="inlineStr">
        <is>
          <t>I</t>
        </is>
      </c>
      <c r="I4" s="3" t="inlineStr">
        <is>
          <t>D</t>
        </is>
      </c>
      <c r="J4" s="3" t="inlineStr">
        <is>
          <t>RPN</t>
        </is>
      </c>
      <c r="K4" s="3" t="inlineStr">
        <is>
          <t>Zone</t>
        </is>
      </c>
      <c r="L4" s="3" t="inlineStr">
        <is>
          <t>Response type</t>
        </is>
      </c>
      <c r="M4" s="3" t="inlineStr">
        <is>
          <t>Response (done now)</t>
        </is>
      </c>
      <c r="N4" s="3" t="inlineStr">
        <is>
          <t>Contingency plan (if it happens)</t>
        </is>
      </c>
      <c r="O4" s="3" t="inlineStr">
        <is>
          <t>Trigger (observable)</t>
        </is>
      </c>
      <c r="P4" s="3" t="inlineStr">
        <is>
          <t>Owner (role)</t>
        </is>
      </c>
      <c r="Q4" s="3" t="inlineStr">
        <is>
          <t>Reserve ($)</t>
        </is>
      </c>
    </row>
    <row r="5" ht="60" customHeight="1">
      <c r="A5" s="4" t="inlineStr">
        <is>
          <t>R1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6">
        <f>IF(COUNT(G5:I5)=3,G5*H5*I5,"")</f>
        <v/>
      </c>
      <c r="K5" s="6">
        <f>IF(COUNT(G5:H5)=2,INDEX(Scales!$B$22:$F$26,6-G5,H5),"")</f>
        <v/>
      </c>
      <c r="L5" s="5" t="n"/>
      <c r="M5" s="5" t="n"/>
      <c r="N5" s="5" t="n"/>
      <c r="O5" s="5" t="n"/>
      <c r="P5" s="5" t="n"/>
      <c r="Q5" s="7" t="n"/>
    </row>
    <row r="6" ht="60" customHeight="1">
      <c r="A6" s="4" t="inlineStr">
        <is>
          <t>R2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6">
        <f>IF(COUNT(G6:I6)=3,G6*H6*I6,"")</f>
        <v/>
      </c>
      <c r="K6" s="6">
        <f>IF(COUNT(G6:H6)=2,INDEX(Scales!$B$22:$F$26,6-G6,H6),"")</f>
        <v/>
      </c>
      <c r="L6" s="5" t="n"/>
      <c r="M6" s="5" t="n"/>
      <c r="N6" s="5" t="n"/>
      <c r="O6" s="5" t="n"/>
      <c r="P6" s="5" t="n"/>
      <c r="Q6" s="7" t="n"/>
    </row>
    <row r="7" ht="60" customHeight="1">
      <c r="A7" s="4" t="inlineStr">
        <is>
          <t>R3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6">
        <f>IF(COUNT(G7:I7)=3,G7*H7*I7,"")</f>
        <v/>
      </c>
      <c r="K7" s="6">
        <f>IF(COUNT(G7:H7)=2,INDEX(Scales!$B$22:$F$26,6-G7,H7),"")</f>
        <v/>
      </c>
      <c r="L7" s="5" t="n"/>
      <c r="M7" s="5" t="n"/>
      <c r="N7" s="5" t="n"/>
      <c r="O7" s="5" t="n"/>
      <c r="P7" s="5" t="n"/>
      <c r="Q7" s="7" t="n"/>
    </row>
    <row r="8" ht="60" customHeight="1">
      <c r="A8" s="4" t="inlineStr">
        <is>
          <t>R4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6">
        <f>IF(COUNT(G8:I8)=3,G8*H8*I8,"")</f>
        <v/>
      </c>
      <c r="K8" s="6">
        <f>IF(COUNT(G8:H8)=2,INDEX(Scales!$B$22:$F$26,6-G8,H8),"")</f>
        <v/>
      </c>
      <c r="L8" s="5" t="n"/>
      <c r="M8" s="5" t="n"/>
      <c r="N8" s="5" t="n"/>
      <c r="O8" s="5" t="n"/>
      <c r="P8" s="5" t="n"/>
      <c r="Q8" s="7" t="n"/>
    </row>
    <row r="9" ht="60" customHeight="1">
      <c r="A9" s="4" t="inlineStr">
        <is>
          <t>R5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6">
        <f>IF(COUNT(G9:I9)=3,G9*H9*I9,"")</f>
        <v/>
      </c>
      <c r="K9" s="6">
        <f>IF(COUNT(G9:H9)=2,INDEX(Scales!$B$22:$F$26,6-G9,H9),"")</f>
        <v/>
      </c>
      <c r="L9" s="5" t="n"/>
      <c r="M9" s="5" t="n"/>
      <c r="N9" s="5" t="n"/>
      <c r="O9" s="5" t="n"/>
      <c r="P9" s="5" t="n"/>
      <c r="Q9" s="7" t="n"/>
    </row>
    <row r="10" ht="60" customHeight="1">
      <c r="A10" s="4" t="inlineStr">
        <is>
          <t>R6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6">
        <f>IF(COUNT(G10:I10)=3,G10*H10*I10,"")</f>
        <v/>
      </c>
      <c r="K10" s="6">
        <f>IF(COUNT(G10:H10)=2,INDEX(Scales!$B$22:$F$26,6-G10,H10),"")</f>
        <v/>
      </c>
      <c r="L10" s="5" t="n"/>
      <c r="M10" s="5" t="n"/>
      <c r="N10" s="5" t="n"/>
      <c r="O10" s="5" t="n"/>
      <c r="P10" s="5" t="n"/>
      <c r="Q10" s="7" t="n"/>
    </row>
    <row r="11" ht="60" customHeight="1">
      <c r="A11" s="4" t="inlineStr">
        <is>
          <t>R7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6">
        <f>IF(COUNT(G11:I11)=3,G11*H11*I11,"")</f>
        <v/>
      </c>
      <c r="K11" s="6">
        <f>IF(COUNT(G11:H11)=2,INDEX(Scales!$B$22:$F$26,6-G11,H11),"")</f>
        <v/>
      </c>
      <c r="L11" s="5" t="n"/>
      <c r="M11" s="5" t="n"/>
      <c r="N11" s="5" t="n"/>
      <c r="O11" s="5" t="n"/>
      <c r="P11" s="5" t="n"/>
      <c r="Q11" s="7" t="n"/>
    </row>
    <row r="12" ht="60" customHeight="1">
      <c r="A12" s="4" t="inlineStr">
        <is>
          <t>R8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6">
        <f>IF(COUNT(G12:I12)=3,G12*H12*I12,"")</f>
        <v/>
      </c>
      <c r="K12" s="6">
        <f>IF(COUNT(G12:H12)=2,INDEX(Scales!$B$22:$F$26,6-G12,H12),"")</f>
        <v/>
      </c>
      <c r="L12" s="5" t="n"/>
      <c r="M12" s="5" t="n"/>
      <c r="N12" s="5" t="n"/>
      <c r="O12" s="5" t="n"/>
      <c r="P12" s="5" t="n"/>
      <c r="Q12" s="7" t="n"/>
    </row>
    <row r="13">
      <c r="P13" s="8" t="inlineStr">
        <is>
          <t>Total reserve</t>
        </is>
      </c>
      <c r="Q13" s="9">
        <f>SUM(Q5:Q12)</f>
        <v/>
      </c>
    </row>
  </sheetData>
  <conditionalFormatting sqref="K5:K12">
    <cfRule type="expression" priority="1" dxfId="0">
      <formula>$K5="Major"</formula>
    </cfRule>
    <cfRule type="expression" priority="2" dxfId="1">
      <formula>$K5="Moderate"</formula>
    </cfRule>
    <cfRule type="expression" priority="3" dxfId="2">
      <formula>$K5="Minor"</formula>
    </cfRule>
  </conditionalFormatting>
  <dataValidations count="4">
    <dataValidation sqref="B5:B12" showDropDown="0" showInputMessage="0" showErrorMessage="0" allowBlank="1" type="list">
      <formula1>"Technical,External,Organizational,Project management,Attendees"</formula1>
    </dataValidation>
    <dataValidation sqref="C5:C12" showDropDown="0" showInputMessage="0" showErrorMessage="0" allowBlank="1" type="list">
      <formula1>"Threat,Opportunity"</formula1>
    </dataValidation>
    <dataValidation sqref="L5:L12" showDropDown="0" showInputMessage="0" showErrorMessage="0" allowBlank="1" type="list">
      <formula1>"Mitigate,Avoid,Transfer,Escalate,Retain,Exploit,Share,Enhance,Accept"</formula1>
    </dataValidation>
    <dataValidation sqref="G5:I12" showDropDown="0" showInputMessage="0" showErrorMessage="1" allowBlank="1" error="Us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Rating scales</t>
        </is>
      </c>
    </row>
    <row r="2">
      <c r="A2" s="2" t="inlineStr">
        <is>
          <t>Agree these definitions before you rate. Rate an event on the objective it hurts most.</t>
        </is>
      </c>
    </row>
    <row r="4">
      <c r="A4" s="3" t="inlineStr">
        <is>
          <t>Impact</t>
        </is>
      </c>
      <c r="B4" s="3" t="inlineStr">
        <is>
          <t>1 · Very low</t>
        </is>
      </c>
      <c r="C4" s="3" t="inlineStr">
        <is>
          <t>2 · Low</t>
        </is>
      </c>
      <c r="D4" s="3" t="inlineStr">
        <is>
          <t>3 · Moderate</t>
        </is>
      </c>
      <c r="E4" s="3" t="inlineStr">
        <is>
          <t>4 · High</t>
        </is>
      </c>
      <c r="F4" s="3" t="inlineStr">
        <is>
          <t>5 · Very high</t>
        </is>
      </c>
    </row>
    <row r="5" ht="36" customHeight="1">
      <c r="A5" s="10" t="inlineStr">
        <is>
          <t>Cost</t>
        </is>
      </c>
      <c r="B5" s="11" t="inlineStr">
        <is>
          <t>Negligible</t>
        </is>
      </c>
      <c r="C5" s="11" t="inlineStr">
        <is>
          <t>Under 10% over</t>
        </is>
      </c>
      <c r="D5" s="11" t="inlineStr">
        <is>
          <t>10–20% over</t>
        </is>
      </c>
      <c r="E5" s="11" t="inlineStr">
        <is>
          <t>20–40% over</t>
        </is>
      </c>
      <c r="F5" s="11" t="inlineStr">
        <is>
          <t>Over 40% over</t>
        </is>
      </c>
    </row>
    <row r="6" ht="36" customHeight="1">
      <c r="A6" s="10" t="inlineStr">
        <is>
          <t>Time</t>
        </is>
      </c>
      <c r="B6" s="11" t="inlineStr">
        <is>
          <t>Negligible</t>
        </is>
      </c>
      <c r="C6" s="11" t="inlineStr">
        <is>
          <t>Under 5% late</t>
        </is>
      </c>
      <c r="D6" s="11" t="inlineStr">
        <is>
          <t>5–10% late</t>
        </is>
      </c>
      <c r="E6" s="11" t="inlineStr">
        <is>
          <t>10–20% late</t>
        </is>
      </c>
      <c r="F6" s="11" t="inlineStr">
        <is>
          <t>Over 20% late</t>
        </is>
      </c>
    </row>
    <row r="7" ht="36" customHeight="1">
      <c r="A7" s="10" t="inlineStr">
        <is>
          <t>Scope</t>
        </is>
      </c>
      <c r="B7" s="11" t="inlineStr">
        <is>
          <t>Barely noticed</t>
        </is>
      </c>
      <c r="C7" s="11" t="inlineStr">
        <is>
          <t>Minor areas affected</t>
        </is>
      </c>
      <c r="D7" s="11" t="inlineStr">
        <is>
          <t>Major areas affected</t>
        </is>
      </c>
      <c r="E7" s="11" t="inlineStr">
        <is>
          <t>Sponsor would reject the reduction</t>
        </is>
      </c>
      <c r="F7" s="11" t="inlineStr">
        <is>
          <t>Deliverable effectively useless</t>
        </is>
      </c>
    </row>
    <row r="8" ht="36" customHeight="1">
      <c r="A8" s="10" t="inlineStr">
        <is>
          <t>Quality</t>
        </is>
      </c>
      <c r="B8" s="11" t="inlineStr">
        <is>
          <t>Barely noticed</t>
        </is>
      </c>
      <c r="C8" s="11" t="inlineStr">
        <is>
          <t>Only the most demanding uses affected</t>
        </is>
      </c>
      <c r="D8" s="11" t="inlineStr">
        <is>
          <t>Sponsor must approve the reduction</t>
        </is>
      </c>
      <c r="E8" s="11" t="inlineStr">
        <is>
          <t>Sponsor would reject the reduction</t>
        </is>
      </c>
      <c r="F8" s="11" t="inlineStr">
        <is>
          <t>Deliverable effectively useless</t>
        </is>
      </c>
    </row>
    <row r="10">
      <c r="A10" s="3" t="inlineStr">
        <is>
          <t>Likelihood</t>
        </is>
      </c>
      <c r="B10" s="3" t="inlineStr">
        <is>
          <t>1 · Rare</t>
        </is>
      </c>
      <c r="C10" s="3" t="inlineStr">
        <is>
          <t>2 · Unlikely</t>
        </is>
      </c>
      <c r="D10" s="3" t="inlineStr">
        <is>
          <t>3 · Possible</t>
        </is>
      </c>
      <c r="E10" s="3" t="inlineStr">
        <is>
          <t>4 · Likely</t>
        </is>
      </c>
      <c r="F10" s="3" t="inlineStr">
        <is>
          <t>5 · Almost certain</t>
        </is>
      </c>
    </row>
    <row r="11" ht="36" customHeight="1">
      <c r="A11" s="11" t="inlineStr">
        <is>
          <t>Chance it occurs</t>
        </is>
      </c>
      <c r="B11" s="11" t="inlineStr">
        <is>
          <t>Under 10%</t>
        </is>
      </c>
      <c r="C11" s="11" t="inlineStr">
        <is>
          <t>10–30%</t>
        </is>
      </c>
      <c r="D11" s="11" t="inlineStr">
        <is>
          <t>30–50%</t>
        </is>
      </c>
      <c r="E11" s="11" t="inlineStr">
        <is>
          <t>50–80%</t>
        </is>
      </c>
      <c r="F11" s="11" t="inlineStr">
        <is>
          <t>Over 80%</t>
        </is>
      </c>
    </row>
    <row r="13">
      <c r="A13" s="3" t="inlineStr">
        <is>
          <t>Detection difficulty</t>
        </is>
      </c>
      <c r="B13" s="3" t="inlineStr">
        <is>
          <t>1 · Obvious</t>
        </is>
      </c>
      <c r="C13" s="3" t="inlineStr">
        <is>
          <t>2 · Early warning</t>
        </is>
      </c>
      <c r="D13" s="3" t="inlineStr">
        <is>
          <t>3 · Some warning</t>
        </is>
      </c>
      <c r="E13" s="3" t="inlineStr">
        <is>
          <t>4 · Little warning</t>
        </is>
      </c>
      <c r="F13" s="3" t="inlineStr">
        <is>
          <t>5 · Hidden</t>
        </is>
      </c>
    </row>
    <row r="14" ht="36" customHeight="1">
      <c r="A14" s="11" t="inlineStr">
        <is>
          <t>When would we know?</t>
        </is>
      </c>
      <c r="B14" s="11" t="inlineStr">
        <is>
          <t>Weeks ahead, by routine checks</t>
        </is>
      </c>
      <c r="C14" s="11" t="inlineStr">
        <is>
          <t>Days ahead, if someone looks</t>
        </is>
      </c>
      <c r="D14" s="11" t="inlineStr">
        <is>
          <t>Shortly before, with effort</t>
        </is>
      </c>
      <c r="E14" s="11" t="inlineStr">
        <is>
          <t>Only as it happens</t>
        </is>
      </c>
      <c r="F14" s="11" t="inlineStr">
        <is>
          <t>Only after the damage is done</t>
        </is>
      </c>
    </row>
    <row r="20">
      <c r="A20" s="4" t="inlineStr">
        <is>
          <t>Severity zones (used by the Register's Zone column)</t>
        </is>
      </c>
    </row>
    <row r="21">
      <c r="A21" s="3" t="inlineStr">
        <is>
          <t>Likelihood \ Impact</t>
        </is>
      </c>
      <c r="B21" s="3" t="n">
        <v>1</v>
      </c>
      <c r="C21" s="3" t="n">
        <v>2</v>
      </c>
      <c r="D21" s="3" t="n">
        <v>3</v>
      </c>
      <c r="E21" s="3" t="n">
        <v>4</v>
      </c>
      <c r="F21" s="3" t="n">
        <v>5</v>
      </c>
    </row>
    <row r="22">
      <c r="A22" s="12" t="n">
        <v>5</v>
      </c>
      <c r="B22" s="6" t="inlineStr">
        <is>
          <t>Minor</t>
        </is>
      </c>
      <c r="C22" s="6" t="inlineStr">
        <is>
          <t>Moderate</t>
        </is>
      </c>
      <c r="D22" s="6" t="inlineStr">
        <is>
          <t>Moderate</t>
        </is>
      </c>
      <c r="E22" s="6" t="inlineStr">
        <is>
          <t>Major</t>
        </is>
      </c>
      <c r="F22" s="6" t="inlineStr">
        <is>
          <t>Major</t>
        </is>
      </c>
    </row>
    <row r="23">
      <c r="A23" s="12" t="n">
        <v>4</v>
      </c>
      <c r="B23" s="6" t="inlineStr">
        <is>
          <t>Minor</t>
        </is>
      </c>
      <c r="C23" s="6" t="inlineStr">
        <is>
          <t>Moderate</t>
        </is>
      </c>
      <c r="D23" s="6" t="inlineStr">
        <is>
          <t>Moderate</t>
        </is>
      </c>
      <c r="E23" s="6" t="inlineStr">
        <is>
          <t>Major</t>
        </is>
      </c>
      <c r="F23" s="6" t="inlineStr">
        <is>
          <t>Major</t>
        </is>
      </c>
    </row>
    <row r="24">
      <c r="A24" s="12" t="n">
        <v>3</v>
      </c>
      <c r="B24" s="6" t="inlineStr">
        <is>
          <t>Minor</t>
        </is>
      </c>
      <c r="C24" s="6" t="inlineStr">
        <is>
          <t>Minor</t>
        </is>
      </c>
      <c r="D24" s="6" t="inlineStr">
        <is>
          <t>Moderate</t>
        </is>
      </c>
      <c r="E24" s="6" t="inlineStr">
        <is>
          <t>Moderate</t>
        </is>
      </c>
      <c r="F24" s="6" t="inlineStr">
        <is>
          <t>Major</t>
        </is>
      </c>
    </row>
    <row r="25">
      <c r="A25" s="12" t="n">
        <v>2</v>
      </c>
      <c r="B25" s="6" t="inlineStr">
        <is>
          <t>Minor</t>
        </is>
      </c>
      <c r="C25" s="6" t="inlineStr">
        <is>
          <t>Minor</t>
        </is>
      </c>
      <c r="D25" s="6" t="inlineStr">
        <is>
          <t>Moderate</t>
        </is>
      </c>
      <c r="E25" s="6" t="inlineStr">
        <is>
          <t>Moderate</t>
        </is>
      </c>
      <c r="F25" s="6" t="inlineStr">
        <is>
          <t>Major</t>
        </is>
      </c>
    </row>
    <row r="26">
      <c r="A26" s="12" t="n">
        <v>1</v>
      </c>
      <c r="B26" s="6" t="inlineStr">
        <is>
          <t>Minor</t>
        </is>
      </c>
      <c r="C26" s="6" t="inlineStr">
        <is>
          <t>Minor</t>
        </is>
      </c>
      <c r="D26" s="6" t="inlineStr">
        <is>
          <t>Minor</t>
        </is>
      </c>
      <c r="E26" s="6" t="inlineStr">
        <is>
          <t>Moderate</t>
        </is>
      </c>
      <c r="F26" s="6" t="inlineStr">
        <is>
          <t>Moderate</t>
        </is>
      </c>
    </row>
  </sheetData>
  <conditionalFormatting sqref="B22:F26">
    <cfRule type="expression" priority="1" dxfId="0">
      <formula>B22="Major"</formula>
    </cfRule>
    <cfRule type="expression" priority="2" dxfId="1">
      <formula>B22="Moderate"</formula>
    </cfRule>
    <cfRule type="expression" priority="3" dxfId="2">
      <formula>B22="Minor"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Severity matrix</t>
        </is>
      </c>
    </row>
    <row r="2">
      <c r="A2" s="2" t="inlineStr">
        <is>
          <t>Risk IDs appear in the cell matching their likelihood (row) and impact (column).</t>
        </is>
      </c>
    </row>
    <row r="4">
      <c r="A4" s="3" t="inlineStr">
        <is>
          <t>Likelihood \ Impact</t>
        </is>
      </c>
      <c r="B4" s="3" t="inlineStr">
        <is>
          <t>1</t>
        </is>
      </c>
      <c r="C4" s="3" t="inlineStr">
        <is>
          <t>2</t>
        </is>
      </c>
      <c r="D4" s="3" t="inlineStr">
        <is>
          <t>3</t>
        </is>
      </c>
      <c r="E4" s="3" t="inlineStr">
        <is>
          <t>4</t>
        </is>
      </c>
      <c r="F4" s="3" t="inlineStr">
        <is>
          <t>5</t>
        </is>
      </c>
    </row>
    <row r="5" ht="48" customHeight="1">
      <c r="A5" s="12" t="n">
        <v>5</v>
      </c>
      <c r="B5" s="13">
        <f>TRIM(IF(AND(Register!$G$5=5,Register!$H$5=1),Register!$A$5&amp;" ","")&amp;IF(AND(Register!$G$6=5,Register!$H$6=1),Register!$A$6&amp;" ","")&amp;IF(AND(Register!$G$7=5,Register!$H$7=1),Register!$A$7&amp;" ","")&amp;IF(AND(Register!$G$8=5,Register!$H$8=1),Register!$A$8&amp;" ","")&amp;IF(AND(Register!$G$9=5,Register!$H$9=1),Register!$A$9&amp;" ","")&amp;IF(AND(Register!$G$10=5,Register!$H$10=1),Register!$A$10&amp;" ","")&amp;IF(AND(Register!$G$11=5,Register!$H$11=1),Register!$A$11&amp;" ","")&amp;IF(AND(Register!$G$12=5,Register!$H$12=1),Register!$A$12&amp;" ",""))</f>
        <v/>
      </c>
      <c r="C5" s="14">
        <f>TRIM(IF(AND(Register!$G$5=5,Register!$H$5=2),Register!$A$5&amp;" ","")&amp;IF(AND(Register!$G$6=5,Register!$H$6=2),Register!$A$6&amp;" ","")&amp;IF(AND(Register!$G$7=5,Register!$H$7=2),Register!$A$7&amp;" ","")&amp;IF(AND(Register!$G$8=5,Register!$H$8=2),Register!$A$8&amp;" ","")&amp;IF(AND(Register!$G$9=5,Register!$H$9=2),Register!$A$9&amp;" ","")&amp;IF(AND(Register!$G$10=5,Register!$H$10=2),Register!$A$10&amp;" ","")&amp;IF(AND(Register!$G$11=5,Register!$H$11=2),Register!$A$11&amp;" ","")&amp;IF(AND(Register!$G$12=5,Register!$H$12=2),Register!$A$12&amp;" ",""))</f>
        <v/>
      </c>
      <c r="D5" s="14">
        <f>TRIM(IF(AND(Register!$G$5=5,Register!$H$5=3),Register!$A$5&amp;" ","")&amp;IF(AND(Register!$G$6=5,Register!$H$6=3),Register!$A$6&amp;" ","")&amp;IF(AND(Register!$G$7=5,Register!$H$7=3),Register!$A$7&amp;" ","")&amp;IF(AND(Register!$G$8=5,Register!$H$8=3),Register!$A$8&amp;" ","")&amp;IF(AND(Register!$G$9=5,Register!$H$9=3),Register!$A$9&amp;" ","")&amp;IF(AND(Register!$G$10=5,Register!$H$10=3),Register!$A$10&amp;" ","")&amp;IF(AND(Register!$G$11=5,Register!$H$11=3),Register!$A$11&amp;" ","")&amp;IF(AND(Register!$G$12=5,Register!$H$12=3),Register!$A$12&amp;" ",""))</f>
        <v/>
      </c>
      <c r="E5" s="3">
        <f>TRIM(IF(AND(Register!$G$5=5,Register!$H$5=4),Register!$A$5&amp;" ","")&amp;IF(AND(Register!$G$6=5,Register!$H$6=4),Register!$A$6&amp;" ","")&amp;IF(AND(Register!$G$7=5,Register!$H$7=4),Register!$A$7&amp;" ","")&amp;IF(AND(Register!$G$8=5,Register!$H$8=4),Register!$A$8&amp;" ","")&amp;IF(AND(Register!$G$9=5,Register!$H$9=4),Register!$A$9&amp;" ","")&amp;IF(AND(Register!$G$10=5,Register!$H$10=4),Register!$A$10&amp;" ","")&amp;IF(AND(Register!$G$11=5,Register!$H$11=4),Register!$A$11&amp;" ","")&amp;IF(AND(Register!$G$12=5,Register!$H$12=4),Register!$A$12&amp;" ",""))</f>
        <v/>
      </c>
      <c r="F5" s="3">
        <f>TRIM(IF(AND(Register!$G$5=5,Register!$H$5=5),Register!$A$5&amp;" ","")&amp;IF(AND(Register!$G$6=5,Register!$H$6=5),Register!$A$6&amp;" ","")&amp;IF(AND(Register!$G$7=5,Register!$H$7=5),Register!$A$7&amp;" ","")&amp;IF(AND(Register!$G$8=5,Register!$H$8=5),Register!$A$8&amp;" ","")&amp;IF(AND(Register!$G$9=5,Register!$H$9=5),Register!$A$9&amp;" ","")&amp;IF(AND(Register!$G$10=5,Register!$H$10=5),Register!$A$10&amp;" ","")&amp;IF(AND(Register!$G$11=5,Register!$H$11=5),Register!$A$11&amp;" ","")&amp;IF(AND(Register!$G$12=5,Register!$H$12=5),Register!$A$12&amp;" ",""))</f>
        <v/>
      </c>
    </row>
    <row r="6" ht="48" customHeight="1">
      <c r="A6" s="12" t="n">
        <v>4</v>
      </c>
      <c r="B6" s="13">
        <f>TRIM(IF(AND(Register!$G$5=4,Register!$H$5=1),Register!$A$5&amp;" ","")&amp;IF(AND(Register!$G$6=4,Register!$H$6=1),Register!$A$6&amp;" ","")&amp;IF(AND(Register!$G$7=4,Register!$H$7=1),Register!$A$7&amp;" ","")&amp;IF(AND(Register!$G$8=4,Register!$H$8=1),Register!$A$8&amp;" ","")&amp;IF(AND(Register!$G$9=4,Register!$H$9=1),Register!$A$9&amp;" ","")&amp;IF(AND(Register!$G$10=4,Register!$H$10=1),Register!$A$10&amp;" ","")&amp;IF(AND(Register!$G$11=4,Register!$H$11=1),Register!$A$11&amp;" ","")&amp;IF(AND(Register!$G$12=4,Register!$H$12=1),Register!$A$12&amp;" ",""))</f>
        <v/>
      </c>
      <c r="C6" s="14">
        <f>TRIM(IF(AND(Register!$G$5=4,Register!$H$5=2),Register!$A$5&amp;" ","")&amp;IF(AND(Register!$G$6=4,Register!$H$6=2),Register!$A$6&amp;" ","")&amp;IF(AND(Register!$G$7=4,Register!$H$7=2),Register!$A$7&amp;" ","")&amp;IF(AND(Register!$G$8=4,Register!$H$8=2),Register!$A$8&amp;" ","")&amp;IF(AND(Register!$G$9=4,Register!$H$9=2),Register!$A$9&amp;" ","")&amp;IF(AND(Register!$G$10=4,Register!$H$10=2),Register!$A$10&amp;" ","")&amp;IF(AND(Register!$G$11=4,Register!$H$11=2),Register!$A$11&amp;" ","")&amp;IF(AND(Register!$G$12=4,Register!$H$12=2),Register!$A$12&amp;" ",""))</f>
        <v/>
      </c>
      <c r="D6" s="14">
        <f>TRIM(IF(AND(Register!$G$5=4,Register!$H$5=3),Register!$A$5&amp;" ","")&amp;IF(AND(Register!$G$6=4,Register!$H$6=3),Register!$A$6&amp;" ","")&amp;IF(AND(Register!$G$7=4,Register!$H$7=3),Register!$A$7&amp;" ","")&amp;IF(AND(Register!$G$8=4,Register!$H$8=3),Register!$A$8&amp;" ","")&amp;IF(AND(Register!$G$9=4,Register!$H$9=3),Register!$A$9&amp;" ","")&amp;IF(AND(Register!$G$10=4,Register!$H$10=3),Register!$A$10&amp;" ","")&amp;IF(AND(Register!$G$11=4,Register!$H$11=3),Register!$A$11&amp;" ","")&amp;IF(AND(Register!$G$12=4,Register!$H$12=3),Register!$A$12&amp;" ",""))</f>
        <v/>
      </c>
      <c r="E6" s="3">
        <f>TRIM(IF(AND(Register!$G$5=4,Register!$H$5=4),Register!$A$5&amp;" ","")&amp;IF(AND(Register!$G$6=4,Register!$H$6=4),Register!$A$6&amp;" ","")&amp;IF(AND(Register!$G$7=4,Register!$H$7=4),Register!$A$7&amp;" ","")&amp;IF(AND(Register!$G$8=4,Register!$H$8=4),Register!$A$8&amp;" ","")&amp;IF(AND(Register!$G$9=4,Register!$H$9=4),Register!$A$9&amp;" ","")&amp;IF(AND(Register!$G$10=4,Register!$H$10=4),Register!$A$10&amp;" ","")&amp;IF(AND(Register!$G$11=4,Register!$H$11=4),Register!$A$11&amp;" ","")&amp;IF(AND(Register!$G$12=4,Register!$H$12=4),Register!$A$12&amp;" ",""))</f>
        <v/>
      </c>
      <c r="F6" s="3">
        <f>TRIM(IF(AND(Register!$G$5=4,Register!$H$5=5),Register!$A$5&amp;" ","")&amp;IF(AND(Register!$G$6=4,Register!$H$6=5),Register!$A$6&amp;" ","")&amp;IF(AND(Register!$G$7=4,Register!$H$7=5),Register!$A$7&amp;" ","")&amp;IF(AND(Register!$G$8=4,Register!$H$8=5),Register!$A$8&amp;" ","")&amp;IF(AND(Register!$G$9=4,Register!$H$9=5),Register!$A$9&amp;" ","")&amp;IF(AND(Register!$G$10=4,Register!$H$10=5),Register!$A$10&amp;" ","")&amp;IF(AND(Register!$G$11=4,Register!$H$11=5),Register!$A$11&amp;" ","")&amp;IF(AND(Register!$G$12=4,Register!$H$12=5),Register!$A$12&amp;" ",""))</f>
        <v/>
      </c>
    </row>
    <row r="7" ht="48" customHeight="1">
      <c r="A7" s="12" t="n">
        <v>3</v>
      </c>
      <c r="B7" s="13">
        <f>TRIM(IF(AND(Register!$G$5=3,Register!$H$5=1),Register!$A$5&amp;" ","")&amp;IF(AND(Register!$G$6=3,Register!$H$6=1),Register!$A$6&amp;" ","")&amp;IF(AND(Register!$G$7=3,Register!$H$7=1),Register!$A$7&amp;" ","")&amp;IF(AND(Register!$G$8=3,Register!$H$8=1),Register!$A$8&amp;" ","")&amp;IF(AND(Register!$G$9=3,Register!$H$9=1),Register!$A$9&amp;" ","")&amp;IF(AND(Register!$G$10=3,Register!$H$10=1),Register!$A$10&amp;" ","")&amp;IF(AND(Register!$G$11=3,Register!$H$11=1),Register!$A$11&amp;" ","")&amp;IF(AND(Register!$G$12=3,Register!$H$12=1),Register!$A$12&amp;" ",""))</f>
        <v/>
      </c>
      <c r="C7" s="13">
        <f>TRIM(IF(AND(Register!$G$5=3,Register!$H$5=2),Register!$A$5&amp;" ","")&amp;IF(AND(Register!$G$6=3,Register!$H$6=2),Register!$A$6&amp;" ","")&amp;IF(AND(Register!$G$7=3,Register!$H$7=2),Register!$A$7&amp;" ","")&amp;IF(AND(Register!$G$8=3,Register!$H$8=2),Register!$A$8&amp;" ","")&amp;IF(AND(Register!$G$9=3,Register!$H$9=2),Register!$A$9&amp;" ","")&amp;IF(AND(Register!$G$10=3,Register!$H$10=2),Register!$A$10&amp;" ","")&amp;IF(AND(Register!$G$11=3,Register!$H$11=2),Register!$A$11&amp;" ","")&amp;IF(AND(Register!$G$12=3,Register!$H$12=2),Register!$A$12&amp;" ",""))</f>
        <v/>
      </c>
      <c r="D7" s="14">
        <f>TRIM(IF(AND(Register!$G$5=3,Register!$H$5=3),Register!$A$5&amp;" ","")&amp;IF(AND(Register!$G$6=3,Register!$H$6=3),Register!$A$6&amp;" ","")&amp;IF(AND(Register!$G$7=3,Register!$H$7=3),Register!$A$7&amp;" ","")&amp;IF(AND(Register!$G$8=3,Register!$H$8=3),Register!$A$8&amp;" ","")&amp;IF(AND(Register!$G$9=3,Register!$H$9=3),Register!$A$9&amp;" ","")&amp;IF(AND(Register!$G$10=3,Register!$H$10=3),Register!$A$10&amp;" ","")&amp;IF(AND(Register!$G$11=3,Register!$H$11=3),Register!$A$11&amp;" ","")&amp;IF(AND(Register!$G$12=3,Register!$H$12=3),Register!$A$12&amp;" ",""))</f>
        <v/>
      </c>
      <c r="E7" s="14">
        <f>TRIM(IF(AND(Register!$G$5=3,Register!$H$5=4),Register!$A$5&amp;" ","")&amp;IF(AND(Register!$G$6=3,Register!$H$6=4),Register!$A$6&amp;" ","")&amp;IF(AND(Register!$G$7=3,Register!$H$7=4),Register!$A$7&amp;" ","")&amp;IF(AND(Register!$G$8=3,Register!$H$8=4),Register!$A$8&amp;" ","")&amp;IF(AND(Register!$G$9=3,Register!$H$9=4),Register!$A$9&amp;" ","")&amp;IF(AND(Register!$G$10=3,Register!$H$10=4),Register!$A$10&amp;" ","")&amp;IF(AND(Register!$G$11=3,Register!$H$11=4),Register!$A$11&amp;" ","")&amp;IF(AND(Register!$G$12=3,Register!$H$12=4),Register!$A$12&amp;" ",""))</f>
        <v/>
      </c>
      <c r="F7" s="3">
        <f>TRIM(IF(AND(Register!$G$5=3,Register!$H$5=5),Register!$A$5&amp;" ","")&amp;IF(AND(Register!$G$6=3,Register!$H$6=5),Register!$A$6&amp;" ","")&amp;IF(AND(Register!$G$7=3,Register!$H$7=5),Register!$A$7&amp;" ","")&amp;IF(AND(Register!$G$8=3,Register!$H$8=5),Register!$A$8&amp;" ","")&amp;IF(AND(Register!$G$9=3,Register!$H$9=5),Register!$A$9&amp;" ","")&amp;IF(AND(Register!$G$10=3,Register!$H$10=5),Register!$A$10&amp;" ","")&amp;IF(AND(Register!$G$11=3,Register!$H$11=5),Register!$A$11&amp;" ","")&amp;IF(AND(Register!$G$12=3,Register!$H$12=5),Register!$A$12&amp;" ",""))</f>
        <v/>
      </c>
    </row>
    <row r="8" ht="48" customHeight="1">
      <c r="A8" s="12" t="n">
        <v>2</v>
      </c>
      <c r="B8" s="13">
        <f>TRIM(IF(AND(Register!$G$5=2,Register!$H$5=1),Register!$A$5&amp;" ","")&amp;IF(AND(Register!$G$6=2,Register!$H$6=1),Register!$A$6&amp;" ","")&amp;IF(AND(Register!$G$7=2,Register!$H$7=1),Register!$A$7&amp;" ","")&amp;IF(AND(Register!$G$8=2,Register!$H$8=1),Register!$A$8&amp;" ","")&amp;IF(AND(Register!$G$9=2,Register!$H$9=1),Register!$A$9&amp;" ","")&amp;IF(AND(Register!$G$10=2,Register!$H$10=1),Register!$A$10&amp;" ","")&amp;IF(AND(Register!$G$11=2,Register!$H$11=1),Register!$A$11&amp;" ","")&amp;IF(AND(Register!$G$12=2,Register!$H$12=1),Register!$A$12&amp;" ",""))</f>
        <v/>
      </c>
      <c r="C8" s="13">
        <f>TRIM(IF(AND(Register!$G$5=2,Register!$H$5=2),Register!$A$5&amp;" ","")&amp;IF(AND(Register!$G$6=2,Register!$H$6=2),Register!$A$6&amp;" ","")&amp;IF(AND(Register!$G$7=2,Register!$H$7=2),Register!$A$7&amp;" ","")&amp;IF(AND(Register!$G$8=2,Register!$H$8=2),Register!$A$8&amp;" ","")&amp;IF(AND(Register!$G$9=2,Register!$H$9=2),Register!$A$9&amp;" ","")&amp;IF(AND(Register!$G$10=2,Register!$H$10=2),Register!$A$10&amp;" ","")&amp;IF(AND(Register!$G$11=2,Register!$H$11=2),Register!$A$11&amp;" ","")&amp;IF(AND(Register!$G$12=2,Register!$H$12=2),Register!$A$12&amp;" ",""))</f>
        <v/>
      </c>
      <c r="D8" s="14">
        <f>TRIM(IF(AND(Register!$G$5=2,Register!$H$5=3),Register!$A$5&amp;" ","")&amp;IF(AND(Register!$G$6=2,Register!$H$6=3),Register!$A$6&amp;" ","")&amp;IF(AND(Register!$G$7=2,Register!$H$7=3),Register!$A$7&amp;" ","")&amp;IF(AND(Register!$G$8=2,Register!$H$8=3),Register!$A$8&amp;" ","")&amp;IF(AND(Register!$G$9=2,Register!$H$9=3),Register!$A$9&amp;" ","")&amp;IF(AND(Register!$G$10=2,Register!$H$10=3),Register!$A$10&amp;" ","")&amp;IF(AND(Register!$G$11=2,Register!$H$11=3),Register!$A$11&amp;" ","")&amp;IF(AND(Register!$G$12=2,Register!$H$12=3),Register!$A$12&amp;" ",""))</f>
        <v/>
      </c>
      <c r="E8" s="14">
        <f>TRIM(IF(AND(Register!$G$5=2,Register!$H$5=4),Register!$A$5&amp;" ","")&amp;IF(AND(Register!$G$6=2,Register!$H$6=4),Register!$A$6&amp;" ","")&amp;IF(AND(Register!$G$7=2,Register!$H$7=4),Register!$A$7&amp;" ","")&amp;IF(AND(Register!$G$8=2,Register!$H$8=4),Register!$A$8&amp;" ","")&amp;IF(AND(Register!$G$9=2,Register!$H$9=4),Register!$A$9&amp;" ","")&amp;IF(AND(Register!$G$10=2,Register!$H$10=4),Register!$A$10&amp;" ","")&amp;IF(AND(Register!$G$11=2,Register!$H$11=4),Register!$A$11&amp;" ","")&amp;IF(AND(Register!$G$12=2,Register!$H$12=4),Register!$A$12&amp;" ",""))</f>
        <v/>
      </c>
      <c r="F8" s="3">
        <f>TRIM(IF(AND(Register!$G$5=2,Register!$H$5=5),Register!$A$5&amp;" ","")&amp;IF(AND(Register!$G$6=2,Register!$H$6=5),Register!$A$6&amp;" ","")&amp;IF(AND(Register!$G$7=2,Register!$H$7=5),Register!$A$7&amp;" ","")&amp;IF(AND(Register!$G$8=2,Register!$H$8=5),Register!$A$8&amp;" ","")&amp;IF(AND(Register!$G$9=2,Register!$H$9=5),Register!$A$9&amp;" ","")&amp;IF(AND(Register!$G$10=2,Register!$H$10=5),Register!$A$10&amp;" ","")&amp;IF(AND(Register!$G$11=2,Register!$H$11=5),Register!$A$11&amp;" ","")&amp;IF(AND(Register!$G$12=2,Register!$H$12=5),Register!$A$12&amp;" ",""))</f>
        <v/>
      </c>
    </row>
    <row r="9" ht="48" customHeight="1">
      <c r="A9" s="12" t="n">
        <v>1</v>
      </c>
      <c r="B9" s="13">
        <f>TRIM(IF(AND(Register!$G$5=1,Register!$H$5=1),Register!$A$5&amp;" ","")&amp;IF(AND(Register!$G$6=1,Register!$H$6=1),Register!$A$6&amp;" ","")&amp;IF(AND(Register!$G$7=1,Register!$H$7=1),Register!$A$7&amp;" ","")&amp;IF(AND(Register!$G$8=1,Register!$H$8=1),Register!$A$8&amp;" ","")&amp;IF(AND(Register!$G$9=1,Register!$H$9=1),Register!$A$9&amp;" ","")&amp;IF(AND(Register!$G$10=1,Register!$H$10=1),Register!$A$10&amp;" ","")&amp;IF(AND(Register!$G$11=1,Register!$H$11=1),Register!$A$11&amp;" ","")&amp;IF(AND(Register!$G$12=1,Register!$H$12=1),Register!$A$12&amp;" ",""))</f>
        <v/>
      </c>
      <c r="C9" s="13">
        <f>TRIM(IF(AND(Register!$G$5=1,Register!$H$5=2),Register!$A$5&amp;" ","")&amp;IF(AND(Register!$G$6=1,Register!$H$6=2),Register!$A$6&amp;" ","")&amp;IF(AND(Register!$G$7=1,Register!$H$7=2),Register!$A$7&amp;" ","")&amp;IF(AND(Register!$G$8=1,Register!$H$8=2),Register!$A$8&amp;" ","")&amp;IF(AND(Register!$G$9=1,Register!$H$9=2),Register!$A$9&amp;" ","")&amp;IF(AND(Register!$G$10=1,Register!$H$10=2),Register!$A$10&amp;" ","")&amp;IF(AND(Register!$G$11=1,Register!$H$11=2),Register!$A$11&amp;" ","")&amp;IF(AND(Register!$G$12=1,Register!$H$12=2),Register!$A$12&amp;" ",""))</f>
        <v/>
      </c>
      <c r="D9" s="13">
        <f>TRIM(IF(AND(Register!$G$5=1,Register!$H$5=3),Register!$A$5&amp;" ","")&amp;IF(AND(Register!$G$6=1,Register!$H$6=3),Register!$A$6&amp;" ","")&amp;IF(AND(Register!$G$7=1,Register!$H$7=3),Register!$A$7&amp;" ","")&amp;IF(AND(Register!$G$8=1,Register!$H$8=3),Register!$A$8&amp;" ","")&amp;IF(AND(Register!$G$9=1,Register!$H$9=3),Register!$A$9&amp;" ","")&amp;IF(AND(Register!$G$10=1,Register!$H$10=3),Register!$A$10&amp;" ","")&amp;IF(AND(Register!$G$11=1,Register!$H$11=3),Register!$A$11&amp;" ","")&amp;IF(AND(Register!$G$12=1,Register!$H$12=3),Register!$A$12&amp;" ",""))</f>
        <v/>
      </c>
      <c r="E9" s="14">
        <f>TRIM(IF(AND(Register!$G$5=1,Register!$H$5=4),Register!$A$5&amp;" ","")&amp;IF(AND(Register!$G$6=1,Register!$H$6=4),Register!$A$6&amp;" ","")&amp;IF(AND(Register!$G$7=1,Register!$H$7=4),Register!$A$7&amp;" ","")&amp;IF(AND(Register!$G$8=1,Register!$H$8=4),Register!$A$8&amp;" ","")&amp;IF(AND(Register!$G$9=1,Register!$H$9=4),Register!$A$9&amp;" ","")&amp;IF(AND(Register!$G$10=1,Register!$H$10=4),Register!$A$10&amp;" ","")&amp;IF(AND(Register!$G$11=1,Register!$H$11=4),Register!$A$11&amp;" ","")&amp;IF(AND(Register!$G$12=1,Register!$H$12=4),Register!$A$12&amp;" ",""))</f>
        <v/>
      </c>
      <c r="F9" s="14">
        <f>TRIM(IF(AND(Register!$G$5=1,Register!$H$5=5),Register!$A$5&amp;" ","")&amp;IF(AND(Register!$G$6=1,Register!$H$6=5),Register!$A$6&amp;" ","")&amp;IF(AND(Register!$G$7=1,Register!$H$7=5),Register!$A$7&amp;" ","")&amp;IF(AND(Register!$G$8=1,Register!$H$8=5),Register!$A$8&amp;" ","")&amp;IF(AND(Register!$G$9=1,Register!$H$9=5),Register!$A$9&amp;" ","")&amp;IF(AND(Register!$G$10=1,Register!$H$10=5),Register!$A$10&amp;" ","")&amp;IF(AND(Register!$G$11=1,Register!$H$11=5),Register!$A$11&amp;" ","")&amp;IF(AND(Register!$G$12=1,Register!$H$12=5),Register!$A$12&amp;" ",""))</f>
        <v/>
      </c>
    </row>
    <row r="11">
      <c r="A11" s="2" t="inlineStr">
        <is>
          <t>Dark: major · Mid: moderate · Light: minor. Impact weighs more than likelihood, so the major zone runs down the impact-5 column.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7" customWidth="1" min="4" max="4"/>
    <col width="7" customWidth="1" min="5" max="5"/>
    <col width="7" customWidth="1" min="6" max="6"/>
    <col width="10" customWidth="1" min="7" max="7"/>
    <col width="11" customWidth="1" min="8" max="8"/>
  </cols>
  <sheetData>
    <row r="1">
      <c r="A1" s="1" t="inlineStr">
        <is>
          <t>PERT · revised three-point estimates (workdays)</t>
        </is>
      </c>
    </row>
    <row r="2">
      <c r="A2" s="2" t="inlineStr">
        <is>
          <t>These estimates replace the ones in the notes. Enter your own formulas in the yellow cells.</t>
        </is>
      </c>
    </row>
    <row r="4">
      <c r="A4" s="3" t="inlineStr">
        <is>
          <t>ID</t>
        </is>
      </c>
      <c r="B4" s="3" t="inlineStr">
        <is>
          <t>Activity</t>
        </is>
      </c>
      <c r="C4" s="3" t="inlineStr">
        <is>
          <t>Predecessors</t>
        </is>
      </c>
      <c r="D4" s="3" t="inlineStr">
        <is>
          <t>a</t>
        </is>
      </c>
      <c r="E4" s="3" t="inlineStr">
        <is>
          <t>m</t>
        </is>
      </c>
      <c r="F4" s="3" t="inlineStr">
        <is>
          <t>b</t>
        </is>
      </c>
      <c r="G4" s="3" t="inlineStr">
        <is>
          <t>t_e</t>
        </is>
      </c>
      <c r="H4" s="3" t="inlineStr">
        <is>
          <t>Variance</t>
        </is>
      </c>
    </row>
    <row r="5">
      <c r="A5" s="6" t="inlineStr">
        <is>
          <t>A</t>
        </is>
      </c>
      <c r="B5" s="15" t="inlineStr">
        <is>
          <t>Event brief</t>
        </is>
      </c>
      <c r="C5" s="6" t="inlineStr">
        <is>
          <t>—</t>
        </is>
      </c>
      <c r="D5" s="6" t="n">
        <v>2</v>
      </c>
      <c r="E5" s="6" t="n">
        <v>2</v>
      </c>
      <c r="F5" s="6" t="n">
        <v>8</v>
      </c>
      <c r="G5" s="16" t="n"/>
      <c r="H5" s="16" t="n"/>
    </row>
    <row r="6">
      <c r="A6" s="6" t="inlineStr">
        <is>
          <t>B</t>
        </is>
      </c>
      <c r="B6" s="15" t="inlineStr">
        <is>
          <t>Venue</t>
        </is>
      </c>
      <c r="C6" s="6" t="inlineStr">
        <is>
          <t>A</t>
        </is>
      </c>
      <c r="D6" s="6" t="n">
        <v>4</v>
      </c>
      <c r="E6" s="6" t="n">
        <v>7</v>
      </c>
      <c r="F6" s="6" t="n">
        <v>16</v>
      </c>
      <c r="G6" s="16" t="n"/>
      <c r="H6" s="16" t="n"/>
    </row>
    <row r="7">
      <c r="A7" s="6" t="inlineStr">
        <is>
          <t>C</t>
        </is>
      </c>
      <c r="B7" s="15" t="inlineStr">
        <is>
          <t>Program draft</t>
        </is>
      </c>
      <c r="C7" s="6" t="inlineStr">
        <is>
          <t>A</t>
        </is>
      </c>
      <c r="D7" s="6" t="n">
        <v>4</v>
      </c>
      <c r="E7" s="6" t="n">
        <v>6</v>
      </c>
      <c r="F7" s="6" t="n">
        <v>8</v>
      </c>
      <c r="G7" s="16" t="n"/>
      <c r="H7" s="16" t="n"/>
    </row>
    <row r="8">
      <c r="A8" s="6" t="inlineStr">
        <is>
          <t>D</t>
        </is>
      </c>
      <c r="B8" s="15" t="inlineStr">
        <is>
          <t>Registration</t>
        </is>
      </c>
      <c r="C8" s="6" t="inlineStr">
        <is>
          <t>B</t>
        </is>
      </c>
      <c r="D8" s="6" t="n">
        <v>3</v>
      </c>
      <c r="E8" s="6" t="n">
        <v>5</v>
      </c>
      <c r="F8" s="6" t="n">
        <v>13</v>
      </c>
      <c r="G8" s="16" t="n"/>
      <c r="H8" s="16" t="n"/>
    </row>
    <row r="9">
      <c r="A9" s="6" t="inlineStr">
        <is>
          <t>E</t>
        </is>
      </c>
      <c r="B9" s="15" t="inlineStr">
        <is>
          <t>Speakers</t>
        </is>
      </c>
      <c r="C9" s="6" t="inlineStr">
        <is>
          <t>C</t>
        </is>
      </c>
      <c r="D9" s="6" t="n">
        <v>6</v>
      </c>
      <c r="E9" s="6" t="n">
        <v>8</v>
      </c>
      <c r="F9" s="6" t="n">
        <v>16</v>
      </c>
      <c r="G9" s="16" t="n"/>
      <c r="H9" s="16" t="n"/>
    </row>
    <row r="10">
      <c r="A10" s="6" t="inlineStr">
        <is>
          <t>F</t>
        </is>
      </c>
      <c r="B10" s="15" t="inlineStr">
        <is>
          <t>Exhibitors</t>
        </is>
      </c>
      <c r="C10" s="6" t="inlineStr">
        <is>
          <t>C</t>
        </is>
      </c>
      <c r="D10" s="6" t="n">
        <v>2</v>
      </c>
      <c r="E10" s="6" t="n">
        <v>5</v>
      </c>
      <c r="F10" s="6" t="n">
        <v>8</v>
      </c>
      <c r="G10" s="16" t="n"/>
      <c r="H10" s="16" t="n"/>
    </row>
    <row r="11">
      <c r="A11" s="6" t="inlineStr">
        <is>
          <t>G</t>
        </is>
      </c>
      <c r="B11" s="15" t="inlineStr">
        <is>
          <t>Publish program</t>
        </is>
      </c>
      <c r="C11" s="6" t="inlineStr">
        <is>
          <t>D, E</t>
        </is>
      </c>
      <c r="D11" s="6" t="n">
        <v>3</v>
      </c>
      <c r="E11" s="6" t="n">
        <v>3</v>
      </c>
      <c r="F11" s="6" t="n">
        <v>9</v>
      </c>
      <c r="G11" s="16" t="n"/>
      <c r="H11" s="16" t="n"/>
    </row>
    <row r="12">
      <c r="A12" s="6" t="inlineStr">
        <is>
          <t>H</t>
        </is>
      </c>
      <c r="B12" s="15" t="inlineStr">
        <is>
          <t>Materials</t>
        </is>
      </c>
      <c r="C12" s="6" t="inlineStr">
        <is>
          <t>F, G</t>
        </is>
      </c>
      <c r="D12" s="6" t="n">
        <v>2</v>
      </c>
      <c r="E12" s="6" t="n">
        <v>4</v>
      </c>
      <c r="F12" s="6" t="n">
        <v>6</v>
      </c>
      <c r="G12" s="16" t="n"/>
      <c r="H12" s="16" t="n"/>
    </row>
    <row r="13">
      <c r="A13" s="6" t="inlineStr">
        <is>
          <t>I</t>
        </is>
      </c>
      <c r="B13" s="15" t="inlineStr">
        <is>
          <t>Rehearsal</t>
        </is>
      </c>
      <c r="C13" s="6" t="inlineStr">
        <is>
          <t>H</t>
        </is>
      </c>
      <c r="D13" s="6" t="n">
        <v>2</v>
      </c>
      <c r="E13" s="6" t="n">
        <v>2</v>
      </c>
      <c r="F13" s="6" t="n">
        <v>8</v>
      </c>
      <c r="G13" s="16" t="n"/>
      <c r="H13" s="16" t="n"/>
    </row>
    <row r="16">
      <c r="A16" s="4" t="inlineStr">
        <is>
          <t>Paths</t>
        </is>
      </c>
    </row>
    <row r="17">
      <c r="A17" s="3" t="inlineStr">
        <is>
          <t>Path</t>
        </is>
      </c>
      <c r="B17" s="17" t="n"/>
      <c r="C17" s="18" t="n"/>
      <c r="D17" s="3" t="inlineStr">
        <is>
          <t>Sum t_e</t>
        </is>
      </c>
      <c r="E17" s="3" t="inlineStr">
        <is>
          <t>Sum variance</t>
        </is>
      </c>
      <c r="F17" s="3" t="inlineStr">
        <is>
          <t>σ</t>
        </is>
      </c>
      <c r="G17" s="3" t="inlineStr">
        <is>
          <t>Z at T_S</t>
        </is>
      </c>
      <c r="H17" s="3" t="inlineStr">
        <is>
          <t>P(finish ≤ T_S)</t>
        </is>
      </c>
    </row>
    <row r="18">
      <c r="A18" t="inlineStr">
        <is>
          <t>A–B–D–G–H–I</t>
        </is>
      </c>
      <c r="D18" s="16" t="n"/>
      <c r="E18" s="16" t="n"/>
      <c r="F18" s="16" t="n"/>
      <c r="G18" s="16" t="n"/>
      <c r="H18" s="19" t="n"/>
    </row>
    <row r="19">
      <c r="A19" t="inlineStr">
        <is>
          <t>A–C–E–G–H–I</t>
        </is>
      </c>
      <c r="D19" s="16" t="n"/>
      <c r="E19" s="16" t="n"/>
      <c r="F19" s="16" t="n"/>
      <c r="G19" s="16" t="n"/>
      <c r="H19" s="19" t="n"/>
    </row>
    <row r="20">
      <c r="A20" t="inlineStr">
        <is>
          <t>A–C–F–H–I</t>
        </is>
      </c>
      <c r="D20" s="16" t="n"/>
      <c r="E20" s="16" t="n"/>
      <c r="F20" s="16" t="n"/>
      <c r="G20" s="16" t="n"/>
      <c r="H20" s="19" t="n"/>
    </row>
    <row r="22">
      <c r="A22" s="8" t="inlineStr">
        <is>
          <t>Scheduled time T_S (sponsor's date)</t>
        </is>
      </c>
      <c r="D22" t="n">
        <v>32</v>
      </c>
    </row>
    <row r="23">
      <c r="A23" s="8" t="inlineStr">
        <is>
          <t>Z for 90% confidence</t>
        </is>
      </c>
      <c r="D23" t="n">
        <v>1.2816</v>
      </c>
    </row>
    <row r="24">
      <c r="A24" s="8" t="inlineStr">
        <is>
          <t>T_E + 1.28σ on the critical path</t>
        </is>
      </c>
      <c r="D24" s="20" t="n"/>
    </row>
    <row r="26">
      <c r="A26" s="2" t="inlineStr">
        <is>
          <t>Tip: =NORM.S.DIST(Z, TRUE) returns the probability for a Z value.</t>
        </is>
      </c>
    </row>
  </sheetData>
  <mergeCells count="4">
    <mergeCell ref="A17:C17"/>
    <mergeCell ref="A18:C18"/>
    <mergeCell ref="A20:C20"/>
    <mergeCell ref="A19:C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3" customWidth="1" min="3" max="3"/>
    <col width="44" customWidth="1" min="4" max="4"/>
    <col width="36" customWidth="1" min="5" max="5"/>
  </cols>
  <sheetData>
    <row r="1">
      <c r="A1" s="1" t="inlineStr">
        <is>
          <t>AI review · reconciliation</t>
        </is>
      </c>
    </row>
    <row r="2">
      <c r="A2" s="2" t="inlineStr">
        <is>
          <t>One row per objection the model raised. If none of its objections hold, say so in row 1 and explain what you checked.</t>
        </is>
      </c>
    </row>
    <row r="4">
      <c r="A4" s="3" t="inlineStr">
        <is>
          <t>#</t>
        </is>
      </c>
      <c r="B4" s="3" t="inlineStr">
        <is>
          <t>Objection (quote or summarize the model)</t>
        </is>
      </c>
      <c r="C4" s="3" t="inlineStr">
        <is>
          <t>Accept or reject</t>
        </is>
      </c>
      <c r="D4" s="3" t="inlineStr">
        <is>
          <t>Reason, tied to this project</t>
        </is>
      </c>
      <c r="E4" s="3" t="inlineStr">
        <is>
          <t>Change made to the register</t>
        </is>
      </c>
    </row>
    <row r="5" ht="48" customHeight="1">
      <c r="A5" s="21" t="n">
        <v>1</v>
      </c>
      <c r="B5" s="5" t="n"/>
      <c r="C5" s="5" t="n"/>
      <c r="D5" s="5" t="n"/>
      <c r="E5" s="5" t="n"/>
    </row>
    <row r="6" ht="48" customHeight="1">
      <c r="A6" s="21" t="n">
        <v>2</v>
      </c>
      <c r="B6" s="5" t="n"/>
      <c r="C6" s="5" t="n"/>
      <c r="D6" s="5" t="n"/>
      <c r="E6" s="5" t="n"/>
    </row>
    <row r="7" ht="48" customHeight="1">
      <c r="A7" s="21" t="n">
        <v>3</v>
      </c>
      <c r="B7" s="5" t="n"/>
      <c r="C7" s="5" t="n"/>
      <c r="D7" s="5" t="n"/>
      <c r="E7" s="5" t="n"/>
    </row>
    <row r="8" ht="48" customHeight="1">
      <c r="A8" s="21" t="n">
        <v>4</v>
      </c>
      <c r="B8" s="5" t="n"/>
      <c r="C8" s="5" t="n"/>
      <c r="D8" s="5" t="n"/>
      <c r="E8" s="5" t="n"/>
    </row>
    <row r="9" ht="48" customHeight="1">
      <c r="A9" s="21" t="n">
        <v>5</v>
      </c>
      <c r="B9" s="5" t="n"/>
      <c r="C9" s="5" t="n"/>
      <c r="D9" s="5" t="n"/>
      <c r="E9" s="5" t="n"/>
    </row>
    <row r="10" ht="48" customHeight="1">
      <c r="A10" s="21" t="n">
        <v>6</v>
      </c>
      <c r="B10" s="5" t="n"/>
      <c r="C10" s="5" t="n"/>
      <c r="D10" s="5" t="n"/>
      <c r="E10" s="5" t="n"/>
    </row>
    <row r="11" ht="48" customHeight="1">
      <c r="A11" s="21" t="n">
        <v>7</v>
      </c>
      <c r="B11" s="5" t="n"/>
      <c r="C11" s="5" t="n"/>
      <c r="D11" s="5" t="n"/>
      <c r="E11" s="5" t="n"/>
    </row>
    <row r="12" ht="48" customHeight="1">
      <c r="A12" s="21" t="n">
        <v>8</v>
      </c>
      <c r="B12" s="5" t="n"/>
      <c r="C12" s="5" t="n"/>
      <c r="D12" s="5" t="n"/>
      <c r="E12" s="5" t="n"/>
    </row>
    <row r="13" ht="48" customHeight="1">
      <c r="A13" s="21" t="n">
        <v>9</v>
      </c>
      <c r="B13" s="5" t="n"/>
      <c r="C13" s="5" t="n"/>
      <c r="D13" s="5" t="n"/>
      <c r="E13" s="5" t="n"/>
    </row>
    <row r="14" ht="48" customHeight="1">
      <c r="A14" s="21" t="n">
        <v>10</v>
      </c>
      <c r="B14" s="5" t="n"/>
      <c r="C14" s="5" t="n"/>
      <c r="D14" s="5" t="n"/>
      <c r="E14" s="5" t="n"/>
    </row>
  </sheetData>
  <dataValidations count="1">
    <dataValidation sqref="C5:C14" showDropDown="0" showInputMessage="0" showErrorMessage="0" allowBlank="1" type="list">
      <formula1>"Accept,Reject,Partly"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Harun Pirim</dc:creator>
  <dc:title xmlns:dc="http://purl.org/dc/elements/1.1/">Week 7 risk studio workbook</dc:title>
  <dcterms:created xmlns:dcterms="http://purl.org/dc/terms/" xmlns:xsi="http://www.w3.org/2001/XMLSchema-instance" xsi:type="dcterms:W3CDTF">2026-10-05T16:57:02Z</dcterms:created>
  <dcterms:modified xmlns:dcterms="http://purl.org/dc/terms/" xmlns:xsi="http://www.w3.org/2001/XMLSchema-instance" xsi:type="dcterms:W3CDTF">2026-10-05T16:57:02Z</dcterms:modified>
</cp:coreProperties>
</file>